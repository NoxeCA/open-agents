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noxeca.sharepoint.com/sites/NoxeVente/Shared Documents/Dossier Client/Arcelormittal/02 - Prod/ACO/GD24-MO - Fourniture de deux caméras/"/>
    </mc:Choice>
  </mc:AlternateContent>
  <xr:revisionPtr revIDLastSave="808" documentId="13_ncr:1_{9789AF0C-AA77-4AEB-B6B5-2B72D616919F}" xr6:coauthVersionLast="47" xr6:coauthVersionMax="47" xr10:uidLastSave="{4C5768B4-4253-F940-ABE0-55E7DF98D4F9}"/>
  <bookViews>
    <workbookView xWindow="0" yWindow="880" windowWidth="30940" windowHeight="16780" xr2:uid="{00000000-000D-0000-FFFF-FFFF00000000}"/>
  </bookViews>
  <sheets>
    <sheet name="Costing shee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5" l="1"/>
  <c r="I44" i="5"/>
  <c r="I38" i="5"/>
  <c r="G4" i="5"/>
  <c r="G5" i="5"/>
  <c r="J5" i="5" s="1"/>
  <c r="L5" i="5" s="1"/>
  <c r="I170" i="5"/>
  <c r="F170" i="5"/>
  <c r="F172" i="5" s="1"/>
  <c r="A170" i="5"/>
  <c r="G169" i="5"/>
  <c r="J169" i="5" s="1"/>
  <c r="G168" i="5"/>
  <c r="H168" i="5" s="1"/>
  <c r="K168" i="5" s="1"/>
  <c r="G167" i="5"/>
  <c r="J167" i="5" s="1"/>
  <c r="G166" i="5"/>
  <c r="H166" i="5" s="1"/>
  <c r="I164" i="5"/>
  <c r="F164" i="5"/>
  <c r="A164" i="5"/>
  <c r="G163" i="5"/>
  <c r="J163" i="5" s="1"/>
  <c r="G162" i="5"/>
  <c r="J162" i="5" s="1"/>
  <c r="G161" i="5"/>
  <c r="H161" i="5" s="1"/>
  <c r="K161" i="5" s="1"/>
  <c r="G160" i="5"/>
  <c r="J160" i="5" s="1"/>
  <c r="I158" i="5"/>
  <c r="F158" i="5"/>
  <c r="A158" i="5"/>
  <c r="G157" i="5"/>
  <c r="J157" i="5" s="1"/>
  <c r="G156" i="5"/>
  <c r="H156" i="5" s="1"/>
  <c r="K156" i="5" s="1"/>
  <c r="G155" i="5"/>
  <c r="H155" i="5" s="1"/>
  <c r="K155" i="5" s="1"/>
  <c r="G154" i="5"/>
  <c r="J154" i="5" s="1"/>
  <c r="I152" i="5"/>
  <c r="F152" i="5"/>
  <c r="A152" i="5"/>
  <c r="G151" i="5"/>
  <c r="J151" i="5" s="1"/>
  <c r="G150" i="5"/>
  <c r="J150" i="5" s="1"/>
  <c r="G149" i="5"/>
  <c r="J149" i="5" s="1"/>
  <c r="G148" i="5"/>
  <c r="J148" i="5" s="1"/>
  <c r="G147" i="5"/>
  <c r="J147" i="5" s="1"/>
  <c r="G146" i="5"/>
  <c r="J146" i="5" s="1"/>
  <c r="I144" i="5"/>
  <c r="F144" i="5"/>
  <c r="A144" i="5"/>
  <c r="G143" i="5"/>
  <c r="J143" i="5" s="1"/>
  <c r="G142" i="5"/>
  <c r="J142" i="5" s="1"/>
  <c r="G141" i="5"/>
  <c r="H141" i="5" s="1"/>
  <c r="K141" i="5" s="1"/>
  <c r="G140" i="5"/>
  <c r="J140" i="5" s="1"/>
  <c r="G139" i="5"/>
  <c r="H139" i="5" s="1"/>
  <c r="K139" i="5" s="1"/>
  <c r="G138" i="5"/>
  <c r="J138" i="5" s="1"/>
  <c r="G137" i="5"/>
  <c r="H137" i="5" s="1"/>
  <c r="K137" i="5" s="1"/>
  <c r="G136" i="5"/>
  <c r="J136" i="5" s="1"/>
  <c r="G135" i="5"/>
  <c r="H135" i="5" s="1"/>
  <c r="K135" i="5" s="1"/>
  <c r="G134" i="5"/>
  <c r="J134" i="5" s="1"/>
  <c r="G133" i="5"/>
  <c r="H133" i="5" s="1"/>
  <c r="K133" i="5" s="1"/>
  <c r="G132" i="5"/>
  <c r="J132" i="5" s="1"/>
  <c r="G131" i="5"/>
  <c r="H131" i="5" s="1"/>
  <c r="K131" i="5" s="1"/>
  <c r="G130" i="5"/>
  <c r="J130" i="5" s="1"/>
  <c r="G129" i="5"/>
  <c r="J129" i="5" s="1"/>
  <c r="G128" i="5"/>
  <c r="J128" i="5" s="1"/>
  <c r="G127" i="5"/>
  <c r="H127" i="5" s="1"/>
  <c r="K127" i="5" s="1"/>
  <c r="G126" i="5"/>
  <c r="J126" i="5" s="1"/>
  <c r="G125" i="5"/>
  <c r="H125" i="5" s="1"/>
  <c r="K125" i="5" s="1"/>
  <c r="G124" i="5"/>
  <c r="J124" i="5" s="1"/>
  <c r="G123" i="5"/>
  <c r="H123" i="5" s="1"/>
  <c r="K123" i="5" s="1"/>
  <c r="G122" i="5"/>
  <c r="J122" i="5" s="1"/>
  <c r="G121" i="5"/>
  <c r="H121" i="5" s="1"/>
  <c r="K121" i="5" s="1"/>
  <c r="G120" i="5"/>
  <c r="J120" i="5" s="1"/>
  <c r="I112" i="5"/>
  <c r="F112" i="5"/>
  <c r="F114" i="5" s="1"/>
  <c r="A112" i="5"/>
  <c r="G111" i="5"/>
  <c r="J111" i="5" s="1"/>
  <c r="G110" i="5"/>
  <c r="J110" i="5" s="1"/>
  <c r="G109" i="5"/>
  <c r="J109" i="5" s="1"/>
  <c r="G108" i="5"/>
  <c r="J108" i="5" s="1"/>
  <c r="I106" i="5"/>
  <c r="F106" i="5"/>
  <c r="A106" i="5"/>
  <c r="G105" i="5"/>
  <c r="H105" i="5" s="1"/>
  <c r="K105" i="5" s="1"/>
  <c r="G104" i="5"/>
  <c r="J104" i="5" s="1"/>
  <c r="G103" i="5"/>
  <c r="J103" i="5" s="1"/>
  <c r="G102" i="5"/>
  <c r="J102" i="5" s="1"/>
  <c r="I100" i="5"/>
  <c r="F100" i="5"/>
  <c r="A100" i="5"/>
  <c r="G99" i="5"/>
  <c r="J99" i="5" s="1"/>
  <c r="G98" i="5"/>
  <c r="J98" i="5" s="1"/>
  <c r="G97" i="5"/>
  <c r="H97" i="5" s="1"/>
  <c r="K97" i="5" s="1"/>
  <c r="G96" i="5"/>
  <c r="H96" i="5" s="1"/>
  <c r="I94" i="5"/>
  <c r="F94" i="5"/>
  <c r="A94" i="5"/>
  <c r="G93" i="5"/>
  <c r="J93" i="5" s="1"/>
  <c r="G92" i="5"/>
  <c r="J92" i="5" s="1"/>
  <c r="G91" i="5"/>
  <c r="J91" i="5" s="1"/>
  <c r="G90" i="5"/>
  <c r="J90" i="5" s="1"/>
  <c r="G89" i="5"/>
  <c r="J89" i="5" s="1"/>
  <c r="G88" i="5"/>
  <c r="J88" i="5" s="1"/>
  <c r="I86" i="5"/>
  <c r="F86" i="5"/>
  <c r="A86" i="5"/>
  <c r="G85" i="5"/>
  <c r="J85" i="5" s="1"/>
  <c r="G84" i="5"/>
  <c r="J84" i="5" s="1"/>
  <c r="G83" i="5"/>
  <c r="J83" i="5" s="1"/>
  <c r="G82" i="5"/>
  <c r="J82" i="5" s="1"/>
  <c r="G81" i="5"/>
  <c r="J81" i="5" s="1"/>
  <c r="G80" i="5"/>
  <c r="J80" i="5" s="1"/>
  <c r="G79" i="5"/>
  <c r="J79" i="5" s="1"/>
  <c r="G78" i="5"/>
  <c r="J78" i="5" s="1"/>
  <c r="G77" i="5"/>
  <c r="J77" i="5" s="1"/>
  <c r="G76" i="5"/>
  <c r="J76" i="5" s="1"/>
  <c r="G75" i="5"/>
  <c r="J75" i="5" s="1"/>
  <c r="G74" i="5"/>
  <c r="J74" i="5" s="1"/>
  <c r="G73" i="5"/>
  <c r="J73" i="5" s="1"/>
  <c r="G72" i="5"/>
  <c r="J72" i="5" s="1"/>
  <c r="G71" i="5"/>
  <c r="J71" i="5" s="1"/>
  <c r="G70" i="5"/>
  <c r="J70" i="5" s="1"/>
  <c r="G69" i="5"/>
  <c r="J69" i="5" s="1"/>
  <c r="G68" i="5"/>
  <c r="J68" i="5" s="1"/>
  <c r="G67" i="5"/>
  <c r="J67" i="5" s="1"/>
  <c r="G66" i="5"/>
  <c r="J66" i="5" s="1"/>
  <c r="G65" i="5"/>
  <c r="J65" i="5" s="1"/>
  <c r="G64" i="5"/>
  <c r="J64" i="5" s="1"/>
  <c r="G63" i="5"/>
  <c r="J63" i="5" s="1"/>
  <c r="G62" i="5"/>
  <c r="J62" i="5" s="1"/>
  <c r="I54" i="5"/>
  <c r="F54" i="5"/>
  <c r="F56" i="5" s="1"/>
  <c r="G53" i="5"/>
  <c r="J53" i="5" s="1"/>
  <c r="G52" i="5"/>
  <c r="H52" i="5" s="1"/>
  <c r="K52" i="5" s="1"/>
  <c r="G51" i="5"/>
  <c r="J51" i="5" s="1"/>
  <c r="G50" i="5"/>
  <c r="I48" i="5"/>
  <c r="F48" i="5"/>
  <c r="G47" i="5"/>
  <c r="J47" i="5" s="1"/>
  <c r="G46" i="5"/>
  <c r="G45" i="5"/>
  <c r="J45" i="5" s="1"/>
  <c r="G44" i="5"/>
  <c r="J44" i="5" s="1"/>
  <c r="G39" i="5"/>
  <c r="I42" i="5"/>
  <c r="F42" i="5"/>
  <c r="G41" i="5"/>
  <c r="J41" i="5" s="1"/>
  <c r="G40" i="5"/>
  <c r="J40" i="5" s="1"/>
  <c r="G38" i="5"/>
  <c r="J38" i="5" s="1"/>
  <c r="I36" i="5"/>
  <c r="F36" i="5"/>
  <c r="A36" i="5"/>
  <c r="G35" i="5"/>
  <c r="J35" i="5" s="1"/>
  <c r="G34" i="5"/>
  <c r="J34" i="5" s="1"/>
  <c r="G33" i="5"/>
  <c r="J33" i="5" s="1"/>
  <c r="G32" i="5"/>
  <c r="J32" i="5" s="1"/>
  <c r="G31" i="5"/>
  <c r="J31" i="5" s="1"/>
  <c r="G30" i="5"/>
  <c r="H30" i="5" s="1"/>
  <c r="K30" i="5" s="1"/>
  <c r="G23" i="5"/>
  <c r="A28" i="5" s="1"/>
  <c r="F28" i="5"/>
  <c r="I28" i="5"/>
  <c r="G17" i="5"/>
  <c r="J17" i="5" s="1"/>
  <c r="G18" i="5"/>
  <c r="H18" i="5" s="1"/>
  <c r="K18" i="5" s="1"/>
  <c r="G19" i="5"/>
  <c r="J19" i="5" s="1"/>
  <c r="G27" i="5"/>
  <c r="J27" i="5" s="1"/>
  <c r="G26" i="5"/>
  <c r="H26" i="5" s="1"/>
  <c r="K26" i="5" s="1"/>
  <c r="G25" i="5"/>
  <c r="J25" i="5" s="1"/>
  <c r="G24" i="5"/>
  <c r="H24" i="5" s="1"/>
  <c r="K24" i="5" s="1"/>
  <c r="G22" i="5"/>
  <c r="H22" i="5" s="1"/>
  <c r="K22" i="5" s="1"/>
  <c r="G21" i="5"/>
  <c r="J21" i="5" s="1"/>
  <c r="G20" i="5"/>
  <c r="H20" i="5" s="1"/>
  <c r="K20" i="5" s="1"/>
  <c r="G16" i="5"/>
  <c r="H16" i="5" s="1"/>
  <c r="K16" i="5" s="1"/>
  <c r="G15" i="5"/>
  <c r="H15" i="5" s="1"/>
  <c r="K15" i="5" s="1"/>
  <c r="G14" i="5"/>
  <c r="J14" i="5" s="1"/>
  <c r="G13" i="5"/>
  <c r="H13" i="5" s="1"/>
  <c r="K13" i="5" s="1"/>
  <c r="G12" i="5"/>
  <c r="H12" i="5" s="1"/>
  <c r="K12" i="5" s="1"/>
  <c r="G11" i="5"/>
  <c r="J11" i="5" s="1"/>
  <c r="G10" i="5"/>
  <c r="H10" i="5" s="1"/>
  <c r="K10" i="5" s="1"/>
  <c r="G9" i="5"/>
  <c r="J9" i="5" s="1"/>
  <c r="G8" i="5"/>
  <c r="J8" i="5" s="1"/>
  <c r="G7" i="5"/>
  <c r="H7" i="5" s="1"/>
  <c r="K7" i="5" s="1"/>
  <c r="G6" i="5"/>
  <c r="H6" i="5" s="1"/>
  <c r="K6" i="5" s="1"/>
  <c r="H4" i="5" l="1"/>
  <c r="K4" i="5" s="1"/>
  <c r="M4" i="5"/>
  <c r="H162" i="5"/>
  <c r="K162" i="5" s="1"/>
  <c r="J105" i="5"/>
  <c r="H79" i="5"/>
  <c r="K79" i="5" s="1"/>
  <c r="H69" i="5"/>
  <c r="K69" i="5" s="1"/>
  <c r="H147" i="5"/>
  <c r="K147" i="5" s="1"/>
  <c r="I56" i="5"/>
  <c r="H50" i="5"/>
  <c r="K50" i="5" s="1"/>
  <c r="H63" i="5"/>
  <c r="K63" i="5" s="1"/>
  <c r="J96" i="5"/>
  <c r="H102" i="5"/>
  <c r="K102" i="5" s="1"/>
  <c r="H149" i="5"/>
  <c r="K149" i="5" s="1"/>
  <c r="H71" i="5"/>
  <c r="K71" i="5" s="1"/>
  <c r="H85" i="5"/>
  <c r="K85" i="5" s="1"/>
  <c r="J97" i="5"/>
  <c r="J155" i="5"/>
  <c r="H160" i="5"/>
  <c r="K160" i="5" s="1"/>
  <c r="H110" i="5"/>
  <c r="K110" i="5" s="1"/>
  <c r="J156" i="5"/>
  <c r="H46" i="5"/>
  <c r="K46" i="5" s="1"/>
  <c r="A48" i="5"/>
  <c r="H39" i="5"/>
  <c r="K39" i="5" s="1"/>
  <c r="A42" i="5"/>
  <c r="K96" i="5"/>
  <c r="H75" i="5"/>
  <c r="K75" i="5" s="1"/>
  <c r="H99" i="5"/>
  <c r="K99" i="5" s="1"/>
  <c r="H103" i="5"/>
  <c r="K103" i="5" s="1"/>
  <c r="H65" i="5"/>
  <c r="K65" i="5" s="1"/>
  <c r="H81" i="5"/>
  <c r="K81" i="5" s="1"/>
  <c r="H154" i="5"/>
  <c r="K154" i="5" s="1"/>
  <c r="I114" i="5"/>
  <c r="H151" i="5"/>
  <c r="K151" i="5" s="1"/>
  <c r="H157" i="5"/>
  <c r="K157" i="5" s="1"/>
  <c r="H77" i="5"/>
  <c r="K77" i="5" s="1"/>
  <c r="H104" i="5"/>
  <c r="K104" i="5" s="1"/>
  <c r="H108" i="5"/>
  <c r="K108" i="5" s="1"/>
  <c r="H67" i="5"/>
  <c r="K67" i="5" s="1"/>
  <c r="H83" i="5"/>
  <c r="K83" i="5" s="1"/>
  <c r="H98" i="5"/>
  <c r="K98" i="5" s="1"/>
  <c r="H73" i="5"/>
  <c r="K73" i="5" s="1"/>
  <c r="I172" i="5"/>
  <c r="K166" i="5"/>
  <c r="H129" i="5"/>
  <c r="K129" i="5" s="1"/>
  <c r="H143" i="5"/>
  <c r="K143" i="5" s="1"/>
  <c r="J121" i="5"/>
  <c r="J123" i="5"/>
  <c r="J125" i="5"/>
  <c r="J127" i="5"/>
  <c r="J131" i="5"/>
  <c r="J133" i="5"/>
  <c r="J135" i="5"/>
  <c r="J137" i="5"/>
  <c r="J139" i="5"/>
  <c r="J141" i="5"/>
  <c r="H146" i="5"/>
  <c r="H148" i="5"/>
  <c r="K148" i="5" s="1"/>
  <c r="H150" i="5"/>
  <c r="K150" i="5" s="1"/>
  <c r="J166" i="5"/>
  <c r="J168" i="5"/>
  <c r="H163" i="5"/>
  <c r="K163" i="5" s="1"/>
  <c r="J161" i="5"/>
  <c r="H120" i="5"/>
  <c r="H122" i="5"/>
  <c r="K122" i="5" s="1"/>
  <c r="H124" i="5"/>
  <c r="K124" i="5" s="1"/>
  <c r="H126" i="5"/>
  <c r="K126" i="5" s="1"/>
  <c r="H128" i="5"/>
  <c r="K128" i="5" s="1"/>
  <c r="H130" i="5"/>
  <c r="K130" i="5" s="1"/>
  <c r="H132" i="5"/>
  <c r="K132" i="5" s="1"/>
  <c r="H134" i="5"/>
  <c r="K134" i="5" s="1"/>
  <c r="H136" i="5"/>
  <c r="K136" i="5" s="1"/>
  <c r="H138" i="5"/>
  <c r="K138" i="5" s="1"/>
  <c r="H140" i="5"/>
  <c r="K140" i="5" s="1"/>
  <c r="H142" i="5"/>
  <c r="K142" i="5" s="1"/>
  <c r="H167" i="5"/>
  <c r="K167" i="5" s="1"/>
  <c r="H169" i="5"/>
  <c r="K169" i="5" s="1"/>
  <c r="K106" i="5"/>
  <c r="H88" i="5"/>
  <c r="H90" i="5"/>
  <c r="K90" i="5" s="1"/>
  <c r="H92" i="5"/>
  <c r="K92" i="5" s="1"/>
  <c r="H62" i="5"/>
  <c r="H64" i="5"/>
  <c r="K64" i="5" s="1"/>
  <c r="H66" i="5"/>
  <c r="K66" i="5" s="1"/>
  <c r="H68" i="5"/>
  <c r="K68" i="5" s="1"/>
  <c r="H70" i="5"/>
  <c r="K70" i="5" s="1"/>
  <c r="H72" i="5"/>
  <c r="K72" i="5" s="1"/>
  <c r="H74" i="5"/>
  <c r="K74" i="5" s="1"/>
  <c r="H76" i="5"/>
  <c r="K76" i="5" s="1"/>
  <c r="H78" i="5"/>
  <c r="K78" i="5" s="1"/>
  <c r="H80" i="5"/>
  <c r="K80" i="5" s="1"/>
  <c r="H82" i="5"/>
  <c r="K82" i="5" s="1"/>
  <c r="H84" i="5"/>
  <c r="K84" i="5" s="1"/>
  <c r="H106" i="5"/>
  <c r="H109" i="5"/>
  <c r="K109" i="5" s="1"/>
  <c r="H111" i="5"/>
  <c r="K111" i="5" s="1"/>
  <c r="H89" i="5"/>
  <c r="K89" i="5" s="1"/>
  <c r="H91" i="5"/>
  <c r="K91" i="5" s="1"/>
  <c r="H93" i="5"/>
  <c r="K93" i="5" s="1"/>
  <c r="H44" i="5"/>
  <c r="K44" i="5" s="1"/>
  <c r="J50" i="5"/>
  <c r="J46" i="5"/>
  <c r="H45" i="5"/>
  <c r="K45" i="5" s="1"/>
  <c r="J52" i="5"/>
  <c r="H47" i="5"/>
  <c r="K47" i="5" s="1"/>
  <c r="H53" i="5"/>
  <c r="K53" i="5" s="1"/>
  <c r="J39" i="5"/>
  <c r="H40" i="5"/>
  <c r="K40" i="5" s="1"/>
  <c r="H38" i="5"/>
  <c r="K38" i="5" s="1"/>
  <c r="H41" i="5"/>
  <c r="K41" i="5" s="1"/>
  <c r="H34" i="5"/>
  <c r="K34" i="5" s="1"/>
  <c r="H32" i="5"/>
  <c r="K32" i="5" s="1"/>
  <c r="J30" i="5"/>
  <c r="H31" i="5"/>
  <c r="K31" i="5" s="1"/>
  <c r="H33" i="5"/>
  <c r="K33" i="5" s="1"/>
  <c r="H35" i="5"/>
  <c r="K35" i="5" s="1"/>
  <c r="J23" i="5"/>
  <c r="H23" i="5"/>
  <c r="K23" i="5" s="1"/>
  <c r="H17" i="5"/>
  <c r="K17" i="5" s="1"/>
  <c r="J4" i="5"/>
  <c r="L4" i="5" s="1"/>
  <c r="J24" i="5"/>
  <c r="J20" i="5"/>
  <c r="J26" i="5"/>
  <c r="J18" i="5"/>
  <c r="J12" i="5"/>
  <c r="H27" i="5"/>
  <c r="K27" i="5" s="1"/>
  <c r="J15" i="5"/>
  <c r="J13" i="5"/>
  <c r="J16" i="5"/>
  <c r="J6" i="5"/>
  <c r="H8" i="5"/>
  <c r="K8" i="5" s="1"/>
  <c r="J10" i="5"/>
  <c r="J22" i="5"/>
  <c r="H19" i="5"/>
  <c r="K19" i="5" s="1"/>
  <c r="J7" i="5"/>
  <c r="H14" i="5"/>
  <c r="K14" i="5" s="1"/>
  <c r="H11" i="5"/>
  <c r="K11" i="5" s="1"/>
  <c r="H21" i="5"/>
  <c r="K21" i="5" s="1"/>
  <c r="H25" i="5"/>
  <c r="K25" i="5" s="1"/>
  <c r="H5" i="5"/>
  <c r="K5" i="5" s="1"/>
  <c r="H9" i="5"/>
  <c r="K9" i="5" s="1"/>
  <c r="K164" i="5" l="1"/>
  <c r="K158" i="5"/>
  <c r="H158" i="5"/>
  <c r="H112" i="5"/>
  <c r="K112" i="5"/>
  <c r="K100" i="5"/>
  <c r="H100" i="5"/>
  <c r="H170" i="5"/>
  <c r="K170" i="5"/>
  <c r="H144" i="5"/>
  <c r="K120" i="5"/>
  <c r="K144" i="5" s="1"/>
  <c r="K146" i="5"/>
  <c r="K152" i="5" s="1"/>
  <c r="H152" i="5"/>
  <c r="H164" i="5"/>
  <c r="K62" i="5"/>
  <c r="K86" i="5" s="1"/>
  <c r="H86" i="5"/>
  <c r="K88" i="5"/>
  <c r="K94" i="5" s="1"/>
  <c r="H94" i="5"/>
  <c r="K48" i="5"/>
  <c r="H48" i="5"/>
  <c r="K42" i="5"/>
  <c r="H42" i="5"/>
  <c r="K36" i="5"/>
  <c r="H36" i="5"/>
  <c r="K28" i="5"/>
  <c r="H28" i="5"/>
  <c r="R11" i="5" l="1"/>
  <c r="R9" i="5" s="1"/>
  <c r="Q11" i="5"/>
  <c r="R8" i="5"/>
  <c r="K172" i="5"/>
  <c r="P8" i="5"/>
  <c r="K114" i="5"/>
  <c r="Q8" i="5"/>
  <c r="P11" i="5"/>
  <c r="P9" i="5" s="1"/>
  <c r="H172" i="5"/>
  <c r="O8" i="5"/>
  <c r="O11" i="5"/>
  <c r="H114" i="5"/>
  <c r="Q9" i="5" l="1"/>
  <c r="A54" i="5"/>
  <c r="H51" i="5"/>
  <c r="O9" i="5"/>
  <c r="K51" i="5" l="1"/>
  <c r="K54" i="5" s="1"/>
  <c r="H54" i="5"/>
  <c r="H56" i="5" l="1"/>
  <c r="O16" i="5" s="1"/>
  <c r="S8" i="5"/>
  <c r="K56" i="5"/>
  <c r="S11" i="5"/>
  <c r="S9" i="5" l="1"/>
  <c r="P18" i="5"/>
  <c r="O17" i="5"/>
  <c r="O19" i="5" l="1"/>
</calcChain>
</file>

<file path=xl/sharedStrings.xml><?xml version="1.0" encoding="utf-8"?>
<sst xmlns="http://schemas.openxmlformats.org/spreadsheetml/2006/main" count="111" uniqueCount="35">
  <si>
    <t>Access Control</t>
  </si>
  <si>
    <t>Materiel</t>
  </si>
  <si>
    <t>Qté</t>
  </si>
  <si>
    <t>Product #</t>
  </si>
  <si>
    <t>Manufacturier</t>
  </si>
  <si>
    <t>Description</t>
  </si>
  <si>
    <t>Unit Cost</t>
  </si>
  <si>
    <t>Discount</t>
  </si>
  <si>
    <t>Real Unit Cost</t>
  </si>
  <si>
    <t>Total Cost</t>
  </si>
  <si>
    <t>Margin</t>
  </si>
  <si>
    <t>Unit Sell price</t>
  </si>
  <si>
    <t>Total Sell Price</t>
  </si>
  <si>
    <t>Note</t>
  </si>
  <si>
    <t>Materieaux</t>
  </si>
  <si>
    <t>Installation</t>
  </si>
  <si>
    <t>Programmation</t>
  </si>
  <si>
    <t>Mise en marche</t>
  </si>
  <si>
    <t>Misc</t>
  </si>
  <si>
    <t>Profit</t>
  </si>
  <si>
    <t>Total Sale</t>
  </si>
  <si>
    <t>Risk</t>
  </si>
  <si>
    <t>MISC</t>
  </si>
  <si>
    <t>Video</t>
  </si>
  <si>
    <t>Wifi</t>
  </si>
  <si>
    <t>transport</t>
  </si>
  <si>
    <t>Axis</t>
  </si>
  <si>
    <t>02168-001</t>
  </si>
  <si>
    <t>Q1656</t>
  </si>
  <si>
    <t>03385-001</t>
  </si>
  <si>
    <t>crane mount</t>
  </si>
  <si>
    <t>02616-004</t>
  </si>
  <si>
    <t>Q36</t>
  </si>
  <si>
    <t>licence genetec</t>
  </si>
  <si>
    <t>sma 3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</si>
</sst>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 * #,##0.00_)\ &quot;$&quot;_ ;_ * \(#,##0.00\)\ &quot;$&quot;_ ;_ * &quot;-&quot;??_)\ &quot;$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0000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5">
    <xf numFmtId="0" fontId="0" fillId="0" borderId="0" xfId="0"/>
    <xf numFmtId="166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166" fontId="3" fillId="0" borderId="4" xfId="1" applyFont="1" applyFill="1" applyBorder="1" applyAlignment="1">
      <alignment horizontal="center"/>
    </xf>
    <xf numFmtId="166" fontId="1" fillId="0" borderId="10" xfId="1" applyFont="1" applyFill="1" applyBorder="1" applyAlignment="1">
      <alignment horizontal="center"/>
    </xf>
    <xf numFmtId="9" fontId="3" fillId="0" borderId="4" xfId="2" applyFont="1" applyFill="1" applyBorder="1" applyAlignment="1">
      <alignment horizontal="center"/>
    </xf>
    <xf numFmtId="9" fontId="0" fillId="0" borderId="0" xfId="2" applyFont="1" applyFill="1"/>
    <xf numFmtId="9" fontId="0" fillId="0" borderId="0" xfId="2" applyFont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6" fontId="1" fillId="0" borderId="4" xfId="1" applyFont="1" applyFill="1" applyBorder="1" applyAlignment="1">
      <alignment horizontal="center"/>
    </xf>
    <xf numFmtId="166" fontId="0" fillId="0" borderId="4" xfId="1" applyFont="1" applyBorder="1"/>
    <xf numFmtId="9" fontId="1" fillId="0" borderId="9" xfId="2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6" fontId="0" fillId="0" borderId="0" xfId="0" applyNumberFormat="1"/>
    <xf numFmtId="0" fontId="2" fillId="0" borderId="0" xfId="0" applyFont="1"/>
    <xf numFmtId="166" fontId="1" fillId="0" borderId="15" xfId="1" applyFont="1" applyFill="1" applyBorder="1" applyAlignment="1">
      <alignment horizontal="center"/>
    </xf>
    <xf numFmtId="10" fontId="0" fillId="0" borderId="0" xfId="2" applyNumberFormat="1" applyFont="1"/>
    <xf numFmtId="165" fontId="0" fillId="0" borderId="0" xfId="3" applyFont="1"/>
    <xf numFmtId="165" fontId="0" fillId="0" borderId="0" xfId="0" applyNumberFormat="1"/>
    <xf numFmtId="166" fontId="2" fillId="2" borderId="0" xfId="1" applyFont="1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166" fontId="0" fillId="0" borderId="0" xfId="1" applyFont="1" applyAlignment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166" fontId="3" fillId="0" borderId="15" xfId="1" applyFont="1" applyFill="1" applyBorder="1" applyAlignment="1">
      <alignment horizontal="center"/>
    </xf>
    <xf numFmtId="9" fontId="3" fillId="0" borderId="15" xfId="2" applyFont="1" applyFill="1" applyBorder="1" applyAlignment="1">
      <alignment horizontal="center"/>
    </xf>
    <xf numFmtId="9" fontId="1" fillId="0" borderId="15" xfId="2" applyFont="1" applyFill="1" applyBorder="1" applyAlignment="1">
      <alignment horizontal="center"/>
    </xf>
    <xf numFmtId="166" fontId="1" fillId="0" borderId="18" xfId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166" fontId="3" fillId="3" borderId="23" xfId="1" applyFont="1" applyFill="1" applyBorder="1" applyAlignment="1">
      <alignment horizontal="center"/>
    </xf>
    <xf numFmtId="9" fontId="3" fillId="0" borderId="23" xfId="2" applyFont="1" applyFill="1" applyBorder="1" applyAlignment="1">
      <alignment horizontal="center"/>
    </xf>
    <xf numFmtId="166" fontId="3" fillId="0" borderId="23" xfId="1" applyFont="1" applyFill="1" applyBorder="1" applyAlignment="1">
      <alignment horizontal="center"/>
    </xf>
    <xf numFmtId="166" fontId="1" fillId="0" borderId="23" xfId="1" applyFont="1" applyFill="1" applyBorder="1" applyAlignment="1">
      <alignment horizontal="center"/>
    </xf>
    <xf numFmtId="9" fontId="1" fillId="0" borderId="24" xfId="2" applyFont="1" applyFill="1" applyBorder="1" applyAlignment="1">
      <alignment horizontal="center"/>
    </xf>
    <xf numFmtId="166" fontId="1" fillId="0" borderId="25" xfId="1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9" fontId="2" fillId="2" borderId="7" xfId="2" applyFont="1" applyFill="1" applyBorder="1" applyAlignment="1">
      <alignment horizontal="center"/>
    </xf>
    <xf numFmtId="166" fontId="2" fillId="2" borderId="7" xfId="1" applyFont="1" applyFill="1" applyBorder="1" applyAlignment="1">
      <alignment horizontal="center"/>
    </xf>
    <xf numFmtId="166" fontId="2" fillId="2" borderId="13" xfId="1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3" fillId="5" borderId="1" xfId="1" applyFont="1" applyFill="1" applyBorder="1" applyAlignment="1">
      <alignment horizontal="center"/>
    </xf>
    <xf numFmtId="9" fontId="3" fillId="5" borderId="1" xfId="2" applyFont="1" applyFill="1" applyBorder="1" applyAlignment="1">
      <alignment horizontal="center"/>
    </xf>
    <xf numFmtId="166" fontId="1" fillId="5" borderId="1" xfId="1" applyFont="1" applyFill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166" fontId="1" fillId="5" borderId="3" xfId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6" fontId="5" fillId="4" borderId="8" xfId="1" applyFont="1" applyFill="1" applyBorder="1" applyAlignment="1">
      <alignment horizontal="center"/>
    </xf>
    <xf numFmtId="9" fontId="5" fillId="4" borderId="8" xfId="2" applyFont="1" applyFill="1" applyBorder="1" applyAlignment="1">
      <alignment horizontal="center"/>
    </xf>
    <xf numFmtId="166" fontId="4" fillId="4" borderId="8" xfId="1" applyFont="1" applyFill="1" applyBorder="1" applyAlignment="1">
      <alignment horizontal="center"/>
    </xf>
    <xf numFmtId="9" fontId="4" fillId="4" borderId="8" xfId="2" applyFont="1" applyFill="1" applyBorder="1" applyAlignment="1">
      <alignment horizontal="center"/>
    </xf>
    <xf numFmtId="166" fontId="0" fillId="0" borderId="4" xfId="1" applyFont="1" applyBorder="1" applyAlignment="1">
      <alignment horizontal="center"/>
    </xf>
    <xf numFmtId="166" fontId="0" fillId="0" borderId="12" xfId="1" applyFont="1" applyBorder="1"/>
    <xf numFmtId="166" fontId="0" fillId="0" borderId="7" xfId="1" applyFont="1" applyBorder="1" applyAlignment="1">
      <alignment horizontal="center"/>
    </xf>
    <xf numFmtId="166" fontId="0" fillId="0" borderId="7" xfId="1" applyFont="1" applyBorder="1"/>
    <xf numFmtId="166" fontId="0" fillId="0" borderId="13" xfId="1" applyFont="1" applyBorder="1"/>
    <xf numFmtId="166" fontId="0" fillId="0" borderId="15" xfId="1" applyFont="1" applyBorder="1" applyAlignment="1">
      <alignment horizontal="center"/>
    </xf>
    <xf numFmtId="166" fontId="0" fillId="0" borderId="18" xfId="1" applyFont="1" applyBorder="1"/>
    <xf numFmtId="0" fontId="0" fillId="0" borderId="19" xfId="0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1" applyFon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0" xfId="0" applyAlignment="1">
      <alignment horizontal="left"/>
    </xf>
    <xf numFmtId="2" fontId="0" fillId="0" borderId="5" xfId="0" applyNumberFormat="1" applyBorder="1" applyAlignment="1">
      <alignment horizontal="center"/>
    </xf>
    <xf numFmtId="166" fontId="0" fillId="0" borderId="12" xfId="1" applyFont="1" applyFill="1" applyBorder="1" applyAlignment="1">
      <alignment horizontal="center"/>
    </xf>
    <xf numFmtId="9" fontId="2" fillId="0" borderId="0" xfId="0" applyNumberFormat="1" applyFont="1"/>
    <xf numFmtId="0" fontId="0" fillId="3" borderId="41" xfId="0" applyFill="1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0" xfId="0" applyNumberFormat="1" applyAlignment="1">
      <alignment horizontal="left"/>
    </xf>
    <xf numFmtId="44" fontId="0" fillId="0" borderId="0" xfId="0" applyNumberFormat="1" applyAlignment="1">
      <alignment horizontal="center"/>
    </xf>
    <xf numFmtId="0" fontId="7" fillId="0" borderId="0" xfId="0" applyFont="1"/>
    <xf numFmtId="0" fontId="2" fillId="7" borderId="1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166" fontId="0" fillId="0" borderId="30" xfId="1" applyFont="1" applyFill="1" applyBorder="1" applyAlignment="1">
      <alignment horizontal="center" vertical="center"/>
    </xf>
    <xf numFmtId="166" fontId="0" fillId="0" borderId="31" xfId="1" applyFont="1" applyFill="1" applyBorder="1" applyAlignment="1">
      <alignment horizontal="center" vertical="center"/>
    </xf>
    <xf numFmtId="166" fontId="0" fillId="0" borderId="34" xfId="1" applyFont="1" applyFill="1" applyBorder="1" applyAlignment="1">
      <alignment horizontal="center" vertical="center"/>
    </xf>
    <xf numFmtId="166" fontId="0" fillId="0" borderId="39" xfId="1" applyFont="1" applyFill="1" applyBorder="1" applyAlignment="1">
      <alignment horizontal="center" vertical="center"/>
    </xf>
    <xf numFmtId="166" fontId="6" fillId="0" borderId="34" xfId="1" applyFont="1" applyFill="1" applyBorder="1" applyAlignment="1">
      <alignment horizontal="center"/>
    </xf>
    <xf numFmtId="166" fontId="6" fillId="0" borderId="40" xfId="1" applyFont="1" applyFill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97AB-1D61-4781-AA80-22ACC57B1531}">
  <sheetPr>
    <pageSetUpPr fitToPage="1"/>
  </sheetPr>
  <dimension ref="A1:S172"/>
  <sheetViews>
    <sheetView tabSelected="1" zoomScale="111" zoomScaleNormal="70" workbookViewId="0">
      <selection activeCell="J9" sqref="J9:J10"/>
    </sheetView>
  </sheetViews>
  <sheetFormatPr baseColWidth="10" defaultColWidth="11.5" defaultRowHeight="15" x14ac:dyDescent="0.2"/>
  <cols>
    <col min="1" max="1" width="7.83203125" customWidth="1"/>
    <col min="2" max="2" width="30.1640625" style="2" bestFit="1" customWidth="1"/>
    <col min="3" max="3" width="14.1640625" bestFit="1" customWidth="1"/>
    <col min="4" max="4" width="37" customWidth="1"/>
    <col min="5" max="5" width="15.1640625" customWidth="1"/>
    <col min="6" max="6" width="13.1640625" style="7" customWidth="1"/>
    <col min="7" max="7" width="14.33203125" customWidth="1"/>
    <col min="8" max="8" width="19.5" style="1" customWidth="1"/>
    <col min="9" max="9" width="14.33203125" style="8" customWidth="1"/>
    <col min="10" max="10" width="14.33203125" style="1" customWidth="1"/>
    <col min="11" max="11" width="19" style="1" customWidth="1"/>
    <col min="12" max="13" width="17.83203125" customWidth="1"/>
    <col min="14" max="14" width="18.1640625" customWidth="1"/>
    <col min="15" max="15" width="18.6640625" customWidth="1"/>
    <col min="16" max="16" width="20.83203125" customWidth="1"/>
    <col min="17" max="17" width="19.33203125" customWidth="1"/>
    <col min="18" max="18" width="18.6640625" customWidth="1"/>
    <col min="19" max="19" width="18.1640625" customWidth="1"/>
  </cols>
  <sheetData>
    <row r="1" spans="1:19" x14ac:dyDescent="0.2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4"/>
    </row>
    <row r="2" spans="1:19" x14ac:dyDescent="0.2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9" ht="16" thickBot="1" x14ac:dyDescent="0.25">
      <c r="A3" s="43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5" t="s">
        <v>7</v>
      </c>
      <c r="G3" s="44" t="s">
        <v>8</v>
      </c>
      <c r="H3" s="46" t="s">
        <v>9</v>
      </c>
      <c r="I3" s="45" t="s">
        <v>10</v>
      </c>
      <c r="J3" s="46" t="s">
        <v>11</v>
      </c>
      <c r="K3" s="47" t="s">
        <v>12</v>
      </c>
      <c r="L3" s="24" t="s">
        <v>13</v>
      </c>
      <c r="M3" s="24"/>
      <c r="N3" s="2"/>
      <c r="R3" s="2"/>
      <c r="S3" s="2"/>
    </row>
    <row r="4" spans="1:19" ht="16" thickBot="1" x14ac:dyDescent="0.25">
      <c r="A4" s="27">
        <v>1</v>
      </c>
      <c r="B4" s="42" t="s">
        <v>27</v>
      </c>
      <c r="C4" s="28" t="s">
        <v>26</v>
      </c>
      <c r="D4" s="87" t="s">
        <v>28</v>
      </c>
      <c r="E4" s="1">
        <v>1915.56</v>
      </c>
      <c r="F4" s="30"/>
      <c r="G4" s="29">
        <f>IF(F4=0,E4,(E4*(1-F4)))</f>
        <v>1915.56</v>
      </c>
      <c r="H4" s="20">
        <f>A4*G4</f>
        <v>1915.56</v>
      </c>
      <c r="I4" s="31">
        <v>0.25</v>
      </c>
      <c r="J4" s="20">
        <f>G4/(1-I4)</f>
        <v>2554.08</v>
      </c>
      <c r="K4" s="32">
        <f>H4/(1-I4)</f>
        <v>2554.08</v>
      </c>
      <c r="L4" s="85">
        <f>J4/10</f>
        <v>255.40799999999999</v>
      </c>
      <c r="M4" s="86">
        <f>G4/10</f>
        <v>191.55599999999998</v>
      </c>
      <c r="R4" s="2"/>
      <c r="S4" s="2"/>
    </row>
    <row r="5" spans="1:19" ht="16" thickBot="1" x14ac:dyDescent="0.25">
      <c r="A5" s="9">
        <v>1</v>
      </c>
      <c r="B5" s="10" t="s">
        <v>29</v>
      </c>
      <c r="C5" s="28"/>
      <c r="D5" s="10" t="s">
        <v>30</v>
      </c>
      <c r="E5" s="4">
        <v>171.98</v>
      </c>
      <c r="F5" s="6"/>
      <c r="G5" s="4">
        <f>IF(F5=0,E5,(E5*(1-F5)))</f>
        <v>171.98</v>
      </c>
      <c r="H5" s="14">
        <f>A5*G5</f>
        <v>171.98</v>
      </c>
      <c r="I5" s="31">
        <v>0.25</v>
      </c>
      <c r="J5" s="14">
        <f t="shared" ref="J5:J27" si="0">G5/(1-I5)</f>
        <v>229.30666666666664</v>
      </c>
      <c r="K5" s="5">
        <f t="shared" ref="K5:K27" si="1">H5/(1-I5)</f>
        <v>229.30666666666664</v>
      </c>
      <c r="L5" s="85">
        <f>J5/5</f>
        <v>45.861333333333327</v>
      </c>
      <c r="M5" s="79"/>
      <c r="N5" s="2"/>
      <c r="R5" s="2"/>
      <c r="S5" s="2"/>
    </row>
    <row r="6" spans="1:19" ht="16" thickBot="1" x14ac:dyDescent="0.25">
      <c r="A6" s="9"/>
      <c r="B6" s="12"/>
      <c r="C6" s="28"/>
      <c r="D6" s="10"/>
      <c r="E6" s="1"/>
      <c r="F6" s="6"/>
      <c r="G6" s="4">
        <f t="shared" ref="G6:G27" si="2">IF(F6=0,E6,(E6*(1-F6)))</f>
        <v>0</v>
      </c>
      <c r="H6" s="14">
        <f t="shared" ref="H6:H27" si="3">A6*G6</f>
        <v>0</v>
      </c>
      <c r="I6" s="31">
        <v>0.25</v>
      </c>
      <c r="J6" s="14">
        <f t="shared" si="0"/>
        <v>0</v>
      </c>
      <c r="K6" s="5">
        <f t="shared" si="1"/>
        <v>0</v>
      </c>
      <c r="L6" s="79"/>
      <c r="M6" s="79"/>
      <c r="N6" s="2"/>
      <c r="R6" s="2"/>
      <c r="S6" s="2"/>
    </row>
    <row r="7" spans="1:19" ht="16" thickBot="1" x14ac:dyDescent="0.25">
      <c r="A7" s="9">
        <v>1</v>
      </c>
      <c r="B7" s="12" t="s">
        <v>31</v>
      </c>
      <c r="C7" s="10"/>
      <c r="D7" s="10" t="s">
        <v>32</v>
      </c>
      <c r="E7" s="4">
        <v>1505</v>
      </c>
      <c r="F7" s="6"/>
      <c r="G7" s="4">
        <f t="shared" si="2"/>
        <v>1505</v>
      </c>
      <c r="H7" s="14">
        <f t="shared" si="3"/>
        <v>1505</v>
      </c>
      <c r="I7" s="31">
        <v>0.25</v>
      </c>
      <c r="J7" s="14">
        <f t="shared" si="0"/>
        <v>2006.6666666666667</v>
      </c>
      <c r="K7" s="5">
        <f t="shared" si="1"/>
        <v>2006.6666666666667</v>
      </c>
      <c r="N7" s="67"/>
      <c r="O7" s="74" t="s">
        <v>14</v>
      </c>
      <c r="P7" s="74" t="s">
        <v>15</v>
      </c>
      <c r="Q7" s="74" t="s">
        <v>16</v>
      </c>
      <c r="R7" s="74" t="s">
        <v>17</v>
      </c>
      <c r="S7" s="75" t="s">
        <v>18</v>
      </c>
    </row>
    <row r="8" spans="1:19" ht="16" thickBot="1" x14ac:dyDescent="0.25">
      <c r="A8" s="9"/>
      <c r="B8" s="10"/>
      <c r="C8" s="10"/>
      <c r="D8" s="10"/>
      <c r="E8" s="4"/>
      <c r="F8" s="6"/>
      <c r="G8" s="4">
        <f t="shared" si="2"/>
        <v>0</v>
      </c>
      <c r="H8" s="14">
        <f t="shared" si="3"/>
        <v>0</v>
      </c>
      <c r="I8" s="31">
        <v>0</v>
      </c>
      <c r="J8" s="14">
        <f t="shared" si="0"/>
        <v>0</v>
      </c>
      <c r="K8" s="5">
        <f t="shared" si="1"/>
        <v>0</v>
      </c>
      <c r="N8" s="71" t="s">
        <v>9</v>
      </c>
      <c r="O8" s="68">
        <f>SUM(H28,H86,H144)</f>
        <v>4195.74</v>
      </c>
      <c r="P8" s="65">
        <f>SUM(H36,H94,H152)</f>
        <v>0</v>
      </c>
      <c r="Q8" s="65">
        <f>SUM(H42,H100,H158)</f>
        <v>0</v>
      </c>
      <c r="R8" s="65">
        <f>SUM(H48,H106,H164)</f>
        <v>0</v>
      </c>
      <c r="S8" s="66">
        <f>SUM(H54,H112,H170)</f>
        <v>0</v>
      </c>
    </row>
    <row r="9" spans="1:19" ht="16" thickBot="1" x14ac:dyDescent="0.25">
      <c r="A9" s="9">
        <v>2</v>
      </c>
      <c r="B9" s="10"/>
      <c r="C9" s="10"/>
      <c r="D9" s="10" t="s">
        <v>33</v>
      </c>
      <c r="E9" s="4">
        <v>320</v>
      </c>
      <c r="F9" s="6">
        <v>0.35</v>
      </c>
      <c r="G9" s="4">
        <f t="shared" si="2"/>
        <v>208</v>
      </c>
      <c r="H9" s="14">
        <f t="shared" si="3"/>
        <v>416</v>
      </c>
      <c r="I9" s="31">
        <v>0.2</v>
      </c>
      <c r="J9" s="14">
        <f t="shared" si="0"/>
        <v>260</v>
      </c>
      <c r="K9" s="5">
        <f t="shared" si="1"/>
        <v>520</v>
      </c>
      <c r="N9" s="72" t="s">
        <v>19</v>
      </c>
      <c r="O9" s="69">
        <f>O11-O8</f>
        <v>1363.9133333333339</v>
      </c>
      <c r="P9" s="60">
        <f>P11-P8</f>
        <v>0</v>
      </c>
      <c r="Q9" s="15">
        <f>Q11-Q8</f>
        <v>0</v>
      </c>
      <c r="R9" s="15">
        <f>R11-R8</f>
        <v>0</v>
      </c>
      <c r="S9" s="61">
        <f>S11-S8</f>
        <v>0</v>
      </c>
    </row>
    <row r="10" spans="1:19" ht="16" thickBot="1" x14ac:dyDescent="0.25">
      <c r="A10" s="9">
        <v>2</v>
      </c>
      <c r="B10" s="10"/>
      <c r="C10" s="10"/>
      <c r="D10" s="10" t="s">
        <v>34</v>
      </c>
      <c r="E10" s="4">
        <v>144</v>
      </c>
      <c r="F10" s="6">
        <v>0.35</v>
      </c>
      <c r="G10" s="4">
        <f t="shared" si="2"/>
        <v>93.600000000000009</v>
      </c>
      <c r="H10" s="14">
        <f t="shared" si="3"/>
        <v>187.20000000000002</v>
      </c>
      <c r="I10" s="31">
        <v>0.25</v>
      </c>
      <c r="J10" s="14">
        <f t="shared" si="0"/>
        <v>124.80000000000001</v>
      </c>
      <c r="K10" s="5">
        <f t="shared" si="1"/>
        <v>249.60000000000002</v>
      </c>
      <c r="N10" s="72"/>
      <c r="O10" s="69"/>
      <c r="P10" s="60"/>
      <c r="Q10" s="15"/>
      <c r="R10" s="15"/>
      <c r="S10" s="61"/>
    </row>
    <row r="11" spans="1:19" ht="16" thickBot="1" x14ac:dyDescent="0.25">
      <c r="A11" s="9"/>
      <c r="B11" s="83"/>
      <c r="C11" s="84"/>
      <c r="D11" s="10"/>
      <c r="E11" s="4"/>
      <c r="F11" s="6"/>
      <c r="G11" s="4">
        <f>IF(F11=0,E11,(E11*(1-F11)))</f>
        <v>0</v>
      </c>
      <c r="H11" s="14">
        <f>A11*G11</f>
        <v>0</v>
      </c>
      <c r="I11" s="31">
        <v>0.25</v>
      </c>
      <c r="J11" s="14">
        <f t="shared" si="0"/>
        <v>0</v>
      </c>
      <c r="K11" s="5">
        <f t="shared" si="1"/>
        <v>0</v>
      </c>
      <c r="N11" s="73" t="s">
        <v>20</v>
      </c>
      <c r="O11" s="70">
        <f>SUM(K28,K86,K144)</f>
        <v>5559.6533333333336</v>
      </c>
      <c r="P11" s="62">
        <f>SUM(K36,K94,K152)</f>
        <v>0</v>
      </c>
      <c r="Q11" s="63">
        <f>SUM(K42,K100,K158)</f>
        <v>0</v>
      </c>
      <c r="R11" s="63">
        <f>SUM(K48,K106,K164)</f>
        <v>0</v>
      </c>
      <c r="S11" s="64">
        <f>SUM(K54,K112,K170)</f>
        <v>0</v>
      </c>
    </row>
    <row r="12" spans="1:19" ht="16" thickBot="1" x14ac:dyDescent="0.25">
      <c r="A12" s="9"/>
      <c r="B12" s="12"/>
      <c r="C12" s="10"/>
      <c r="D12" s="10"/>
      <c r="E12" s="4"/>
      <c r="F12" s="6"/>
      <c r="G12" s="4">
        <f>IF(F12=0,E12,(E12*(1-F12)))</f>
        <v>0</v>
      </c>
      <c r="H12" s="14">
        <f>A12*G12</f>
        <v>0</v>
      </c>
      <c r="I12" s="31">
        <v>0.25</v>
      </c>
      <c r="J12" s="14">
        <f t="shared" si="0"/>
        <v>0</v>
      </c>
      <c r="K12" s="5">
        <f t="shared" si="1"/>
        <v>0</v>
      </c>
      <c r="O12" s="26"/>
      <c r="P12" s="18"/>
    </row>
    <row r="13" spans="1:19" ht="16" thickBot="1" x14ac:dyDescent="0.25">
      <c r="A13" s="9"/>
      <c r="B13" s="10"/>
      <c r="C13" s="10"/>
      <c r="D13" s="11"/>
      <c r="E13" s="4"/>
      <c r="F13" s="6"/>
      <c r="G13" s="4">
        <f t="shared" ref="G13" si="4">IF(F13=0,E13,(E13*(1-F13)))</f>
        <v>0</v>
      </c>
      <c r="H13" s="14">
        <f t="shared" ref="H13" si="5">A13*G13</f>
        <v>0</v>
      </c>
      <c r="I13" s="31">
        <v>0.15</v>
      </c>
      <c r="J13" s="14">
        <f t="shared" si="0"/>
        <v>0</v>
      </c>
      <c r="K13" s="5">
        <f t="shared" si="1"/>
        <v>0</v>
      </c>
      <c r="O13" s="26"/>
      <c r="P13" s="1"/>
    </row>
    <row r="14" spans="1:19" ht="16" thickBot="1" x14ac:dyDescent="0.25">
      <c r="A14" s="9"/>
      <c r="B14" s="12"/>
      <c r="C14" s="10"/>
      <c r="D14" s="10"/>
      <c r="E14" s="4"/>
      <c r="F14" s="6"/>
      <c r="G14" s="4">
        <f t="shared" si="2"/>
        <v>0</v>
      </c>
      <c r="H14" s="14">
        <f t="shared" si="3"/>
        <v>0</v>
      </c>
      <c r="I14" s="31">
        <v>0.25</v>
      </c>
      <c r="J14" s="14">
        <f t="shared" si="0"/>
        <v>0</v>
      </c>
      <c r="K14" s="5">
        <f t="shared" si="1"/>
        <v>0</v>
      </c>
      <c r="O14" s="26"/>
      <c r="P14" s="1"/>
    </row>
    <row r="15" spans="1:19" ht="16" thickBot="1" x14ac:dyDescent="0.25">
      <c r="A15" s="9"/>
      <c r="B15" s="10"/>
      <c r="C15" s="10"/>
      <c r="D15" s="10"/>
      <c r="E15" s="4"/>
      <c r="F15" s="6"/>
      <c r="G15" s="4">
        <f t="shared" si="2"/>
        <v>0</v>
      </c>
      <c r="H15" s="14">
        <f t="shared" si="3"/>
        <v>0</v>
      </c>
      <c r="I15" s="31">
        <v>0.25</v>
      </c>
      <c r="J15" s="14">
        <f t="shared" si="0"/>
        <v>0</v>
      </c>
      <c r="K15" s="5">
        <f t="shared" si="1"/>
        <v>0</v>
      </c>
      <c r="O15" s="26"/>
      <c r="P15" s="1"/>
    </row>
    <row r="16" spans="1:19" ht="16" thickBot="1" x14ac:dyDescent="0.25">
      <c r="A16" s="9"/>
      <c r="B16" s="12"/>
      <c r="C16" s="10"/>
      <c r="D16" s="10"/>
      <c r="E16" s="4"/>
      <c r="F16" s="6"/>
      <c r="G16" s="4">
        <f t="shared" si="2"/>
        <v>0</v>
      </c>
      <c r="H16" s="14">
        <f t="shared" si="3"/>
        <v>0</v>
      </c>
      <c r="I16" s="31">
        <v>0.25</v>
      </c>
      <c r="J16" s="14">
        <f t="shared" si="0"/>
        <v>0</v>
      </c>
      <c r="K16" s="5">
        <f t="shared" si="1"/>
        <v>0</v>
      </c>
      <c r="N16" s="76" t="s">
        <v>9</v>
      </c>
      <c r="O16" s="99">
        <f>SUM(H56,H114,H172)</f>
        <v>4195.74</v>
      </c>
      <c r="P16" s="100"/>
    </row>
    <row r="17" spans="1:17" ht="16" thickBot="1" x14ac:dyDescent="0.25">
      <c r="A17" s="9"/>
      <c r="B17" s="12"/>
      <c r="C17" s="10"/>
      <c r="D17" s="10"/>
      <c r="E17" s="4"/>
      <c r="F17" s="6"/>
      <c r="G17" s="4">
        <f t="shared" si="2"/>
        <v>0</v>
      </c>
      <c r="H17" s="14">
        <f t="shared" si="3"/>
        <v>0</v>
      </c>
      <c r="I17" s="31">
        <v>0.25</v>
      </c>
      <c r="J17" s="14">
        <f t="shared" si="0"/>
        <v>0</v>
      </c>
      <c r="K17" s="5">
        <f t="shared" si="1"/>
        <v>0</v>
      </c>
      <c r="N17" s="77" t="s">
        <v>19</v>
      </c>
      <c r="O17" s="101">
        <f>SUM(K56,K114,K172)-O16</f>
        <v>1363.9133333333339</v>
      </c>
      <c r="P17" s="102"/>
      <c r="Q17" s="3"/>
    </row>
    <row r="18" spans="1:17" ht="16" thickBot="1" x14ac:dyDescent="0.25">
      <c r="A18" s="9"/>
      <c r="B18" s="12"/>
      <c r="C18" s="10"/>
      <c r="D18" s="10"/>
      <c r="E18" s="4"/>
      <c r="F18" s="6"/>
      <c r="G18" s="4">
        <f t="shared" si="2"/>
        <v>0</v>
      </c>
      <c r="H18" s="14">
        <f t="shared" si="3"/>
        <v>0</v>
      </c>
      <c r="I18" s="31">
        <v>0.25</v>
      </c>
      <c r="J18" s="14">
        <f t="shared" si="0"/>
        <v>0</v>
      </c>
      <c r="K18" s="5">
        <f t="shared" si="1"/>
        <v>0</v>
      </c>
      <c r="N18" s="77" t="s">
        <v>21</v>
      </c>
      <c r="O18" s="82">
        <v>0</v>
      </c>
      <c r="P18" s="81">
        <f>O16*O18</f>
        <v>0</v>
      </c>
    </row>
    <row r="19" spans="1:17" ht="20" thickBot="1" x14ac:dyDescent="0.3">
      <c r="A19" s="9"/>
      <c r="B19" s="10"/>
      <c r="C19" s="10"/>
      <c r="D19" s="10"/>
      <c r="E19" s="4"/>
      <c r="F19" s="6"/>
      <c r="G19" s="4">
        <f t="shared" si="2"/>
        <v>0</v>
      </c>
      <c r="H19" s="14">
        <f t="shared" si="3"/>
        <v>0</v>
      </c>
      <c r="I19" s="31">
        <v>0.25</v>
      </c>
      <c r="J19" s="14">
        <f t="shared" si="0"/>
        <v>0</v>
      </c>
      <c r="K19" s="5">
        <f t="shared" si="1"/>
        <v>0</v>
      </c>
      <c r="N19" s="78" t="s">
        <v>20</v>
      </c>
      <c r="O19" s="103">
        <f>SUM(O16,O17,P18)</f>
        <v>5559.6533333333336</v>
      </c>
      <c r="P19" s="104"/>
      <c r="Q19" s="3"/>
    </row>
    <row r="20" spans="1:17" ht="16" thickBot="1" x14ac:dyDescent="0.25">
      <c r="A20" s="9"/>
      <c r="B20" s="10"/>
      <c r="C20" s="10"/>
      <c r="D20" s="10"/>
      <c r="E20" s="4"/>
      <c r="F20" s="6"/>
      <c r="G20" s="4">
        <f t="shared" si="2"/>
        <v>0</v>
      </c>
      <c r="H20" s="14">
        <f t="shared" si="3"/>
        <v>0</v>
      </c>
      <c r="I20" s="31">
        <v>0.25</v>
      </c>
      <c r="J20" s="14">
        <f t="shared" si="0"/>
        <v>0</v>
      </c>
      <c r="K20" s="5">
        <f t="shared" si="1"/>
        <v>0</v>
      </c>
    </row>
    <row r="21" spans="1:17" ht="16" thickBot="1" x14ac:dyDescent="0.25">
      <c r="A21" s="9"/>
      <c r="B21" s="10"/>
      <c r="C21" s="10"/>
      <c r="D21" s="10"/>
      <c r="E21" s="4"/>
      <c r="F21" s="6"/>
      <c r="G21" s="4">
        <f t="shared" si="2"/>
        <v>0</v>
      </c>
      <c r="H21" s="14">
        <f t="shared" si="3"/>
        <v>0</v>
      </c>
      <c r="I21" s="31">
        <v>0.25</v>
      </c>
      <c r="J21" s="14">
        <f t="shared" si="0"/>
        <v>0</v>
      </c>
      <c r="K21" s="5">
        <f t="shared" si="1"/>
        <v>0</v>
      </c>
    </row>
    <row r="22" spans="1:17" ht="16" thickBot="1" x14ac:dyDescent="0.25">
      <c r="A22" s="13"/>
      <c r="B22" s="10"/>
      <c r="C22" s="10"/>
      <c r="D22" s="10"/>
      <c r="E22" s="4"/>
      <c r="F22" s="6"/>
      <c r="G22" s="4">
        <f t="shared" si="2"/>
        <v>0</v>
      </c>
      <c r="H22" s="14">
        <f t="shared" si="3"/>
        <v>0</v>
      </c>
      <c r="I22" s="31">
        <v>0.25</v>
      </c>
      <c r="J22" s="14">
        <f t="shared" si="0"/>
        <v>0</v>
      </c>
      <c r="K22" s="5">
        <f t="shared" si="1"/>
        <v>0</v>
      </c>
    </row>
    <row r="23" spans="1:17" ht="16" thickBot="1" x14ac:dyDescent="0.25">
      <c r="A23" s="9"/>
      <c r="B23" s="10"/>
      <c r="C23" s="10"/>
      <c r="D23" s="10"/>
      <c r="E23" s="4"/>
      <c r="F23" s="6"/>
      <c r="G23" s="4">
        <f>IF(F23=0,E23,(E23*(1-F23)))</f>
        <v>0</v>
      </c>
      <c r="H23" s="14">
        <f>A23*G23</f>
        <v>0</v>
      </c>
      <c r="I23" s="31">
        <v>0.25</v>
      </c>
      <c r="J23" s="14">
        <f>G23/(1-I23)</f>
        <v>0</v>
      </c>
      <c r="K23" s="5">
        <f t="shared" si="1"/>
        <v>0</v>
      </c>
    </row>
    <row r="24" spans="1:17" ht="16" thickBot="1" x14ac:dyDescent="0.25">
      <c r="A24" s="9"/>
      <c r="B24" s="12"/>
      <c r="C24" s="10"/>
      <c r="D24" s="10"/>
      <c r="E24" s="15"/>
      <c r="F24" s="6"/>
      <c r="G24" s="4">
        <f t="shared" si="2"/>
        <v>0</v>
      </c>
      <c r="H24" s="14">
        <f t="shared" si="3"/>
        <v>0</v>
      </c>
      <c r="I24" s="31">
        <v>0.25</v>
      </c>
      <c r="J24" s="14">
        <f t="shared" si="0"/>
        <v>0</v>
      </c>
      <c r="K24" s="5">
        <f t="shared" si="1"/>
        <v>0</v>
      </c>
    </row>
    <row r="25" spans="1:17" ht="16" thickBot="1" x14ac:dyDescent="0.25">
      <c r="A25" s="9"/>
      <c r="B25" s="12"/>
      <c r="C25" s="10"/>
      <c r="D25" s="10"/>
      <c r="E25" s="4"/>
      <c r="F25" s="6"/>
      <c r="G25" s="4">
        <f t="shared" si="2"/>
        <v>0</v>
      </c>
      <c r="H25" s="14">
        <f t="shared" si="3"/>
        <v>0</v>
      </c>
      <c r="I25" s="16">
        <v>0.3</v>
      </c>
      <c r="J25" s="14">
        <f t="shared" si="0"/>
        <v>0</v>
      </c>
      <c r="K25" s="5">
        <f t="shared" si="1"/>
        <v>0</v>
      </c>
    </row>
    <row r="26" spans="1:17" ht="16" thickBot="1" x14ac:dyDescent="0.25">
      <c r="A26" s="9"/>
      <c r="B26" s="12"/>
      <c r="C26" s="10"/>
      <c r="D26" s="10"/>
      <c r="E26" s="4"/>
      <c r="F26" s="6"/>
      <c r="G26" s="4">
        <f t="shared" si="2"/>
        <v>0</v>
      </c>
      <c r="H26" s="14">
        <f t="shared" si="3"/>
        <v>0</v>
      </c>
      <c r="I26" s="16">
        <v>0.3</v>
      </c>
      <c r="J26" s="14">
        <f t="shared" si="0"/>
        <v>0</v>
      </c>
      <c r="K26" s="5">
        <f t="shared" si="1"/>
        <v>0</v>
      </c>
    </row>
    <row r="27" spans="1:17" ht="16" thickBot="1" x14ac:dyDescent="0.25">
      <c r="A27" s="33"/>
      <c r="B27" s="34"/>
      <c r="C27" s="35"/>
      <c r="D27" s="35"/>
      <c r="E27" s="36"/>
      <c r="F27" s="37"/>
      <c r="G27" s="38">
        <f t="shared" si="2"/>
        <v>0</v>
      </c>
      <c r="H27" s="39">
        <f t="shared" si="3"/>
        <v>0</v>
      </c>
      <c r="I27" s="40">
        <v>0.3</v>
      </c>
      <c r="J27" s="39">
        <f t="shared" si="0"/>
        <v>0</v>
      </c>
      <c r="K27" s="41">
        <f t="shared" si="1"/>
        <v>0</v>
      </c>
    </row>
    <row r="28" spans="1:17" ht="16" thickBot="1" x14ac:dyDescent="0.25">
      <c r="A28" s="48">
        <f>SUM(A4:A27)</f>
        <v>7</v>
      </c>
      <c r="B28" s="49"/>
      <c r="C28" s="49"/>
      <c r="D28" s="49"/>
      <c r="E28" s="50"/>
      <c r="F28" s="51">
        <f>MEDIAN(F4:F27)</f>
        <v>0.35</v>
      </c>
      <c r="G28" s="50"/>
      <c r="H28" s="52">
        <f>SUM(H4:H27)</f>
        <v>4195.74</v>
      </c>
      <c r="I28" s="53">
        <f>MEDIAN(I4:I27)</f>
        <v>0.25</v>
      </c>
      <c r="J28" s="52"/>
      <c r="K28" s="54">
        <f>SUM(K4:K27)</f>
        <v>5559.6533333333336</v>
      </c>
    </row>
    <row r="29" spans="1:17" ht="16" thickBot="1" x14ac:dyDescent="0.25">
      <c r="A29" s="89" t="s">
        <v>15</v>
      </c>
      <c r="B29" s="90"/>
      <c r="C29" s="90"/>
      <c r="D29" s="90"/>
      <c r="E29" s="90"/>
      <c r="F29" s="90"/>
      <c r="G29" s="90"/>
      <c r="H29" s="90"/>
      <c r="I29" s="90"/>
      <c r="J29" s="90"/>
      <c r="K29" s="91"/>
    </row>
    <row r="30" spans="1:17" ht="16" thickBot="1" x14ac:dyDescent="0.25">
      <c r="A30" s="27"/>
      <c r="B30" s="42"/>
      <c r="C30" s="28"/>
      <c r="D30" s="28"/>
      <c r="E30" s="29"/>
      <c r="F30" s="30"/>
      <c r="G30" s="29">
        <f>IF(F30=0,E30,(E30*(1-F30)))</f>
        <v>0</v>
      </c>
      <c r="H30" s="20">
        <f>A30*G30</f>
        <v>0</v>
      </c>
      <c r="I30" s="31">
        <v>0.34920000000000001</v>
      </c>
      <c r="J30" s="20">
        <f>G30/(1-I30)</f>
        <v>0</v>
      </c>
      <c r="K30" s="32">
        <f>H30/(1-I30)</f>
        <v>0</v>
      </c>
    </row>
    <row r="31" spans="1:17" ht="16" thickBot="1" x14ac:dyDescent="0.25">
      <c r="A31" s="27"/>
      <c r="B31" s="42"/>
      <c r="C31" s="28"/>
      <c r="D31" s="28"/>
      <c r="E31" s="29"/>
      <c r="F31" s="6"/>
      <c r="G31" s="4">
        <f>IF(F31=0,E31,(E31*(1-F31)))</f>
        <v>0</v>
      </c>
      <c r="H31" s="14">
        <f>A31*G31</f>
        <v>0</v>
      </c>
      <c r="I31" s="31">
        <v>0.3</v>
      </c>
      <c r="J31" s="14">
        <f t="shared" ref="J31:J35" si="6">G31/(1-I31)</f>
        <v>0</v>
      </c>
      <c r="K31" s="5">
        <f t="shared" ref="K31:K35" si="7">H31/(1-I31)</f>
        <v>0</v>
      </c>
    </row>
    <row r="32" spans="1:17" ht="16" thickBot="1" x14ac:dyDescent="0.25">
      <c r="A32" s="27"/>
      <c r="B32" s="42"/>
      <c r="C32" s="28"/>
      <c r="D32" s="28"/>
      <c r="E32" s="29"/>
      <c r="F32" s="6"/>
      <c r="G32" s="4">
        <f t="shared" ref="G32:G35" si="8">IF(F32=0,E32,(E32*(1-F32)))</f>
        <v>0</v>
      </c>
      <c r="H32" s="14">
        <f t="shared" ref="H32:H35" si="9">A32*G32</f>
        <v>0</v>
      </c>
      <c r="I32" s="31">
        <v>0.3</v>
      </c>
      <c r="J32" s="14">
        <f t="shared" si="6"/>
        <v>0</v>
      </c>
      <c r="K32" s="5">
        <f t="shared" si="7"/>
        <v>0</v>
      </c>
    </row>
    <row r="33" spans="1:15" ht="16" thickBot="1" x14ac:dyDescent="0.25">
      <c r="A33" s="9"/>
      <c r="B33" s="12"/>
      <c r="C33" s="10"/>
      <c r="D33" s="10"/>
      <c r="E33" s="4"/>
      <c r="F33" s="6"/>
      <c r="G33" s="4">
        <f t="shared" si="8"/>
        <v>0</v>
      </c>
      <c r="H33" s="14">
        <f t="shared" si="9"/>
        <v>0</v>
      </c>
      <c r="I33" s="16">
        <v>0.42099999999999999</v>
      </c>
      <c r="J33" s="14">
        <f t="shared" si="6"/>
        <v>0</v>
      </c>
      <c r="K33" s="5">
        <f t="shared" si="7"/>
        <v>0</v>
      </c>
    </row>
    <row r="34" spans="1:15" ht="16" thickBot="1" x14ac:dyDescent="0.25">
      <c r="A34" s="9"/>
      <c r="B34" s="12"/>
      <c r="C34" s="10"/>
      <c r="D34" s="10"/>
      <c r="E34" s="4"/>
      <c r="F34" s="6"/>
      <c r="G34" s="4">
        <f t="shared" si="8"/>
        <v>0</v>
      </c>
      <c r="H34" s="14">
        <f t="shared" si="9"/>
        <v>0</v>
      </c>
      <c r="I34" s="16">
        <v>0.3</v>
      </c>
      <c r="J34" s="14">
        <f t="shared" si="6"/>
        <v>0</v>
      </c>
      <c r="K34" s="5">
        <f t="shared" si="7"/>
        <v>0</v>
      </c>
    </row>
    <row r="35" spans="1:15" ht="16" thickBot="1" x14ac:dyDescent="0.25">
      <c r="A35" s="9"/>
      <c r="B35" s="10"/>
      <c r="C35" s="10"/>
      <c r="D35" s="10"/>
      <c r="E35" s="4"/>
      <c r="F35" s="6"/>
      <c r="G35" s="4">
        <f t="shared" si="8"/>
        <v>0</v>
      </c>
      <c r="H35" s="14">
        <f t="shared" si="9"/>
        <v>0</v>
      </c>
      <c r="I35" s="16">
        <v>0.3</v>
      </c>
      <c r="J35" s="14">
        <f t="shared" si="6"/>
        <v>0</v>
      </c>
      <c r="K35" s="5">
        <f t="shared" si="7"/>
        <v>0</v>
      </c>
    </row>
    <row r="36" spans="1:15" ht="16" thickBot="1" x14ac:dyDescent="0.25">
      <c r="A36" s="48">
        <f>SUM(A30:A35)</f>
        <v>0</v>
      </c>
      <c r="B36" s="49"/>
      <c r="C36" s="49"/>
      <c r="D36" s="49"/>
      <c r="E36" s="50"/>
      <c r="F36" s="51" t="e">
        <f>MEDIAN(F30:F35)</f>
        <v>#NUM!</v>
      </c>
      <c r="G36" s="50"/>
      <c r="H36" s="52">
        <f>SUM(H30:H35)</f>
        <v>0</v>
      </c>
      <c r="I36" s="53">
        <f>MEDIAN(I30:I35)</f>
        <v>0.3</v>
      </c>
      <c r="J36" s="52"/>
      <c r="K36" s="54">
        <f>SUM(K30:K35)</f>
        <v>0</v>
      </c>
    </row>
    <row r="37" spans="1:15" ht="16" thickBot="1" x14ac:dyDescent="0.25">
      <c r="A37" s="89" t="s">
        <v>16</v>
      </c>
      <c r="B37" s="90"/>
      <c r="C37" s="90"/>
      <c r="D37" s="90"/>
      <c r="E37" s="90"/>
      <c r="F37" s="90"/>
      <c r="G37" s="90"/>
      <c r="H37" s="90"/>
      <c r="I37" s="90"/>
      <c r="J37" s="90"/>
      <c r="K37" s="91"/>
    </row>
    <row r="38" spans="1:15" ht="16" thickBot="1" x14ac:dyDescent="0.25">
      <c r="A38" s="27">
        <v>0</v>
      </c>
      <c r="B38" s="42"/>
      <c r="C38" s="28"/>
      <c r="D38" s="28" t="s">
        <v>16</v>
      </c>
      <c r="E38" s="29">
        <v>65.08</v>
      </c>
      <c r="F38" s="30"/>
      <c r="G38" s="29">
        <f>IF(F38=0,E38,(E38*(1-F38)))</f>
        <v>65.08</v>
      </c>
      <c r="H38" s="20">
        <f>A38*G38</f>
        <v>0</v>
      </c>
      <c r="I38" s="31">
        <f>1-E38/105</f>
        <v>0.38019047619047619</v>
      </c>
      <c r="J38" s="20">
        <f>G38/(1-I38)</f>
        <v>105</v>
      </c>
      <c r="K38" s="32">
        <f>H38/(1-I38)</f>
        <v>0</v>
      </c>
    </row>
    <row r="39" spans="1:15" ht="16" thickBot="1" x14ac:dyDescent="0.25">
      <c r="A39" s="27"/>
      <c r="B39" s="12"/>
      <c r="C39" s="10"/>
      <c r="D39" s="28"/>
      <c r="E39" s="4"/>
      <c r="F39" s="6"/>
      <c r="G39" s="4">
        <f t="shared" ref="G39:G41" si="10">IF(F39=0,E39,(E39*(1-F39)))</f>
        <v>0</v>
      </c>
      <c r="H39" s="14">
        <f t="shared" ref="H39:H41" si="11">A39*G39</f>
        <v>0</v>
      </c>
      <c r="I39" s="16">
        <v>0.42099999999999999</v>
      </c>
      <c r="J39" s="14">
        <f t="shared" ref="J39:J41" si="12">G39/(1-I39)</f>
        <v>0</v>
      </c>
      <c r="K39" s="5">
        <f t="shared" ref="K39:K41" si="13">H39/(1-I39)</f>
        <v>0</v>
      </c>
    </row>
    <row r="40" spans="1:15" ht="16" thickBot="1" x14ac:dyDescent="0.25">
      <c r="A40" s="27"/>
      <c r="B40" s="12"/>
      <c r="C40" s="10"/>
      <c r="D40" s="28"/>
      <c r="E40" s="4"/>
      <c r="F40" s="6"/>
      <c r="G40" s="4">
        <f t="shared" si="10"/>
        <v>0</v>
      </c>
      <c r="H40" s="14">
        <f t="shared" si="11"/>
        <v>0</v>
      </c>
      <c r="I40" s="16">
        <v>0.42099999999999999</v>
      </c>
      <c r="J40" s="14">
        <f t="shared" si="12"/>
        <v>0</v>
      </c>
      <c r="K40" s="5">
        <f t="shared" si="13"/>
        <v>0</v>
      </c>
    </row>
    <row r="41" spans="1:15" ht="14.75" customHeight="1" thickBot="1" x14ac:dyDescent="0.25">
      <c r="A41" s="27"/>
      <c r="B41" s="10"/>
      <c r="C41" s="10"/>
      <c r="D41" s="10"/>
      <c r="E41" s="4"/>
      <c r="F41" s="6"/>
      <c r="G41" s="4">
        <f t="shared" si="10"/>
        <v>0</v>
      </c>
      <c r="H41" s="14">
        <f t="shared" si="11"/>
        <v>0</v>
      </c>
      <c r="I41" s="16">
        <v>0.42099999999999999</v>
      </c>
      <c r="J41" s="14">
        <f t="shared" si="12"/>
        <v>0</v>
      </c>
      <c r="K41" s="5">
        <f t="shared" si="13"/>
        <v>0</v>
      </c>
      <c r="N41" s="97"/>
      <c r="O41" s="97"/>
    </row>
    <row r="42" spans="1:15" ht="14.5" customHeight="1" thickBot="1" x14ac:dyDescent="0.25">
      <c r="A42" s="48">
        <f>SUM(A38:A41)</f>
        <v>0</v>
      </c>
      <c r="B42" s="49"/>
      <c r="C42" s="49"/>
      <c r="D42" s="49"/>
      <c r="E42" s="50"/>
      <c r="F42" s="51" t="e">
        <f>MEDIAN(F38:F41)</f>
        <v>#NUM!</v>
      </c>
      <c r="G42" s="50"/>
      <c r="H42" s="52">
        <f>SUM(H38:H41)</f>
        <v>0</v>
      </c>
      <c r="I42" s="53">
        <f>MEDIAN(I38:I41)</f>
        <v>0.42099999999999999</v>
      </c>
      <c r="J42" s="52"/>
      <c r="K42" s="54">
        <f>SUM(K38:K41)</f>
        <v>0</v>
      </c>
      <c r="N42" s="2"/>
      <c r="O42" s="2"/>
    </row>
    <row r="43" spans="1:15" ht="14.75" customHeight="1" thickBot="1" x14ac:dyDescent="0.25">
      <c r="A43" s="89" t="s">
        <v>17</v>
      </c>
      <c r="B43" s="90"/>
      <c r="C43" s="90"/>
      <c r="D43" s="90"/>
      <c r="E43" s="90"/>
      <c r="F43" s="90"/>
      <c r="G43" s="90"/>
      <c r="H43" s="90"/>
      <c r="I43" s="90"/>
      <c r="J43" s="90"/>
      <c r="K43" s="91"/>
      <c r="N43" s="2"/>
      <c r="O43" s="2"/>
    </row>
    <row r="44" spans="1:15" ht="14.5" customHeight="1" thickBot="1" x14ac:dyDescent="0.25">
      <c r="A44" s="27"/>
      <c r="B44" s="42"/>
      <c r="C44" s="28"/>
      <c r="D44" s="28" t="s">
        <v>17</v>
      </c>
      <c r="E44" s="29">
        <v>65.08</v>
      </c>
      <c r="F44" s="30"/>
      <c r="G44" s="29">
        <f>IF(F44=0,E44,(E44*(1-F44)))</f>
        <v>65.08</v>
      </c>
      <c r="H44" s="20">
        <f>A44*G44</f>
        <v>0</v>
      </c>
      <c r="I44" s="31">
        <f>1-E44/105</f>
        <v>0.38019047619047619</v>
      </c>
      <c r="J44" s="20">
        <f>G44/(1-I44)</f>
        <v>105</v>
      </c>
      <c r="K44" s="32">
        <f>H44/(1-I44)</f>
        <v>0</v>
      </c>
    </row>
    <row r="45" spans="1:15" ht="14.5" customHeight="1" thickBot="1" x14ac:dyDescent="0.25">
      <c r="A45" s="27"/>
      <c r="B45" s="12"/>
      <c r="C45" s="10"/>
      <c r="D45" s="28"/>
      <c r="E45" s="4"/>
      <c r="F45" s="6"/>
      <c r="G45" s="4">
        <f t="shared" ref="G45:G47" si="14">IF(F45=0,E45,(E45*(1-F45)))</f>
        <v>0</v>
      </c>
      <c r="H45" s="14">
        <f t="shared" ref="H45:H47" si="15">A45*G45</f>
        <v>0</v>
      </c>
      <c r="I45" s="16">
        <v>0.42099999999999999</v>
      </c>
      <c r="J45" s="14">
        <f t="shared" ref="J45:J47" si="16">G45/(1-I45)</f>
        <v>0</v>
      </c>
      <c r="K45" s="5">
        <f t="shared" ref="K45:K47" si="17">H45/(1-I45)</f>
        <v>0</v>
      </c>
    </row>
    <row r="46" spans="1:15" ht="16" thickBot="1" x14ac:dyDescent="0.25">
      <c r="A46" s="27"/>
      <c r="B46" s="12"/>
      <c r="C46" s="10"/>
      <c r="D46" s="28"/>
      <c r="E46" s="4"/>
      <c r="F46" s="6"/>
      <c r="G46" s="4">
        <f t="shared" si="14"/>
        <v>0</v>
      </c>
      <c r="H46" s="14">
        <f t="shared" si="15"/>
        <v>0</v>
      </c>
      <c r="I46" s="16">
        <v>0.42099999999999999</v>
      </c>
      <c r="J46" s="14">
        <f t="shared" si="16"/>
        <v>0</v>
      </c>
      <c r="K46" s="5">
        <f t="shared" si="17"/>
        <v>0</v>
      </c>
    </row>
    <row r="47" spans="1:15" ht="16" thickBot="1" x14ac:dyDescent="0.25">
      <c r="A47" s="27"/>
      <c r="B47" s="10"/>
      <c r="C47" s="10"/>
      <c r="D47" s="10"/>
      <c r="E47" s="4"/>
      <c r="F47" s="6"/>
      <c r="G47" s="4">
        <f t="shared" si="14"/>
        <v>0</v>
      </c>
      <c r="H47" s="14">
        <f t="shared" si="15"/>
        <v>0</v>
      </c>
      <c r="I47" s="16">
        <v>0.42099999999999999</v>
      </c>
      <c r="J47" s="14">
        <f t="shared" si="16"/>
        <v>0</v>
      </c>
      <c r="K47" s="5">
        <f t="shared" si="17"/>
        <v>0</v>
      </c>
    </row>
    <row r="48" spans="1:15" ht="16" thickBot="1" x14ac:dyDescent="0.25">
      <c r="A48" s="48">
        <f>SUM(A44:A47)</f>
        <v>0</v>
      </c>
      <c r="B48" s="49"/>
      <c r="C48" s="49"/>
      <c r="D48" s="49"/>
      <c r="E48" s="50"/>
      <c r="F48" s="51" t="e">
        <f>MEDIAN(F44:F47)</f>
        <v>#NUM!</v>
      </c>
      <c r="G48" s="50"/>
      <c r="H48" s="52">
        <f>SUM(H44:H47)</f>
        <v>0</v>
      </c>
      <c r="I48" s="53">
        <f>MEDIAN(I44:I47)</f>
        <v>0.42099999999999999</v>
      </c>
      <c r="J48" s="52"/>
      <c r="K48" s="54">
        <f>SUM(K44:K47)</f>
        <v>0</v>
      </c>
    </row>
    <row r="49" spans="1:18" ht="15" customHeight="1" thickBot="1" x14ac:dyDescent="0.25">
      <c r="A49" s="89" t="s">
        <v>22</v>
      </c>
      <c r="B49" s="90"/>
      <c r="C49" s="90"/>
      <c r="D49" s="90"/>
      <c r="E49" s="90"/>
      <c r="F49" s="90"/>
      <c r="G49" s="90"/>
      <c r="H49" s="90"/>
      <c r="I49" s="90"/>
      <c r="J49" s="90"/>
      <c r="K49" s="91"/>
    </row>
    <row r="50" spans="1:18" ht="16" thickBot="1" x14ac:dyDescent="0.25">
      <c r="A50" s="27">
        <v>0</v>
      </c>
      <c r="B50" s="42"/>
      <c r="C50" s="28"/>
      <c r="D50" s="28" t="s">
        <v>25</v>
      </c>
      <c r="E50" s="29">
        <v>140</v>
      </c>
      <c r="F50" s="30"/>
      <c r="G50" s="29">
        <f>IF(F50=0,E50,(E50*(1-F50)))</f>
        <v>140</v>
      </c>
      <c r="H50" s="20">
        <f>A50*G50</f>
        <v>0</v>
      </c>
      <c r="I50" s="31">
        <f>1-E50/105</f>
        <v>-0.33333333333333326</v>
      </c>
      <c r="J50" s="20">
        <f>G50/(1-I50)</f>
        <v>105</v>
      </c>
      <c r="K50" s="32">
        <f>H50/(1-I50)</f>
        <v>0</v>
      </c>
    </row>
    <row r="51" spans="1:18" ht="16" thickBot="1" x14ac:dyDescent="0.25">
      <c r="A51" s="80"/>
      <c r="B51" s="12"/>
      <c r="C51" s="10"/>
      <c r="D51" s="10"/>
      <c r="E51" s="4"/>
      <c r="F51" s="6"/>
      <c r="G51" s="4">
        <f t="shared" ref="G51:G53" si="18">IF(F51=0,E51,(E51*(1-F51)))</f>
        <v>0</v>
      </c>
      <c r="H51" s="14">
        <f t="shared" ref="H51:H53" si="19">A51*G51</f>
        <v>0</v>
      </c>
      <c r="I51" s="16">
        <v>0</v>
      </c>
      <c r="J51" s="14">
        <f t="shared" ref="J51:J53" si="20">G51/(1-I51)</f>
        <v>0</v>
      </c>
      <c r="K51" s="5">
        <f t="shared" ref="K51:K53" si="21">H51/(1-I51)</f>
        <v>0</v>
      </c>
    </row>
    <row r="52" spans="1:18" ht="16" thickBot="1" x14ac:dyDescent="0.25">
      <c r="A52" s="9"/>
      <c r="B52" s="12"/>
      <c r="C52" s="10"/>
      <c r="D52" s="10"/>
      <c r="E52" s="29"/>
      <c r="F52" s="6"/>
      <c r="G52" s="4">
        <f t="shared" si="18"/>
        <v>0</v>
      </c>
      <c r="H52" s="14">
        <f t="shared" si="19"/>
        <v>0</v>
      </c>
      <c r="I52" s="31"/>
      <c r="J52" s="14">
        <f t="shared" si="20"/>
        <v>0</v>
      </c>
      <c r="K52" s="5">
        <f t="shared" si="21"/>
        <v>0</v>
      </c>
    </row>
    <row r="53" spans="1:18" ht="16" thickBot="1" x14ac:dyDescent="0.25">
      <c r="A53" s="9"/>
      <c r="B53" s="10"/>
      <c r="C53" s="10"/>
      <c r="D53" s="10"/>
      <c r="E53" s="4"/>
      <c r="F53" s="6"/>
      <c r="G53" s="4">
        <f t="shared" si="18"/>
        <v>0</v>
      </c>
      <c r="H53" s="14">
        <f t="shared" si="19"/>
        <v>0</v>
      </c>
      <c r="I53" s="16">
        <v>0.3</v>
      </c>
      <c r="J53" s="14">
        <f t="shared" si="20"/>
        <v>0</v>
      </c>
      <c r="K53" s="5">
        <f t="shared" si="21"/>
        <v>0</v>
      </c>
    </row>
    <row r="54" spans="1:18" ht="16" thickBot="1" x14ac:dyDescent="0.25">
      <c r="A54" s="48">
        <f>SUM(A50:A53)</f>
        <v>0</v>
      </c>
      <c r="B54" s="49"/>
      <c r="C54" s="49"/>
      <c r="D54" s="49"/>
      <c r="E54" s="50"/>
      <c r="F54" s="51" t="e">
        <f>MEDIAN(F50:F53)</f>
        <v>#NUM!</v>
      </c>
      <c r="G54" s="50"/>
      <c r="H54" s="52">
        <f>SUM(H50:H53)</f>
        <v>0</v>
      </c>
      <c r="I54" s="53">
        <f>MEDIAN(I50:I53)</f>
        <v>0</v>
      </c>
      <c r="J54" s="52"/>
      <c r="K54" s="54">
        <f>SUM(K50:K53)</f>
        <v>0</v>
      </c>
    </row>
    <row r="55" spans="1:18" ht="16" thickBot="1" x14ac:dyDescent="0.25">
      <c r="A55" s="43" t="s">
        <v>2</v>
      </c>
      <c r="B55" s="44" t="s">
        <v>3</v>
      </c>
      <c r="C55" s="44" t="s">
        <v>4</v>
      </c>
      <c r="D55" s="44" t="s">
        <v>5</v>
      </c>
      <c r="E55" s="44" t="s">
        <v>6</v>
      </c>
      <c r="F55" s="45" t="s">
        <v>7</v>
      </c>
      <c r="G55" s="44" t="s">
        <v>8</v>
      </c>
      <c r="H55" s="46" t="s">
        <v>9</v>
      </c>
      <c r="I55" s="45" t="s">
        <v>10</v>
      </c>
      <c r="J55" s="46" t="s">
        <v>11</v>
      </c>
      <c r="K55" s="47" t="s">
        <v>12</v>
      </c>
    </row>
    <row r="56" spans="1:18" ht="20" thickBot="1" x14ac:dyDescent="0.3">
      <c r="A56" s="55"/>
      <c r="B56" s="55"/>
      <c r="C56" s="55"/>
      <c r="D56" s="55"/>
      <c r="E56" s="56"/>
      <c r="F56" s="57" t="e">
        <f>MEDIAN(F54,F48,F42,F36,F28)</f>
        <v>#NUM!</v>
      </c>
      <c r="G56" s="56"/>
      <c r="H56" s="58">
        <f>SUM(H54,H48,H42,H28,H36)</f>
        <v>4195.74</v>
      </c>
      <c r="I56" s="59">
        <f>AVERAGE(I54,I48,I42,I36,I28)</f>
        <v>0.27839999999999998</v>
      </c>
      <c r="J56" s="58"/>
      <c r="K56" s="58">
        <f>SUM(K54,K48,K42,K36,K28)</f>
        <v>5559.6533333333336</v>
      </c>
    </row>
    <row r="57" spans="1:18" x14ac:dyDescent="0.2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Q57" s="18"/>
      <c r="R57" s="3"/>
    </row>
    <row r="58" spans="1:18" ht="16" thickBot="1" x14ac:dyDescent="0.25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Q58" s="18"/>
      <c r="R58" s="3"/>
    </row>
    <row r="59" spans="1:18" x14ac:dyDescent="0.2">
      <c r="A59" s="92" t="s">
        <v>23</v>
      </c>
      <c r="B59" s="93"/>
      <c r="C59" s="93"/>
      <c r="D59" s="93"/>
      <c r="E59" s="93"/>
      <c r="F59" s="93"/>
      <c r="G59" s="93"/>
      <c r="H59" s="93"/>
      <c r="I59" s="93"/>
      <c r="J59" s="93"/>
      <c r="K59" s="94"/>
      <c r="L59" s="24" t="s">
        <v>13</v>
      </c>
      <c r="M59" s="24"/>
      <c r="Q59" s="18"/>
      <c r="R59" s="3"/>
    </row>
    <row r="60" spans="1:18" x14ac:dyDescent="0.2">
      <c r="A60" s="88" t="s">
        <v>1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Q60" s="18"/>
      <c r="R60" s="3"/>
    </row>
    <row r="61" spans="1:18" ht="16" thickBot="1" x14ac:dyDescent="0.25">
      <c r="A61" s="43" t="s">
        <v>2</v>
      </c>
      <c r="B61" s="44" t="s">
        <v>3</v>
      </c>
      <c r="C61" s="44" t="s">
        <v>4</v>
      </c>
      <c r="D61" s="44" t="s">
        <v>5</v>
      </c>
      <c r="E61" s="44" t="s">
        <v>6</v>
      </c>
      <c r="F61" s="45" t="s">
        <v>7</v>
      </c>
      <c r="G61" s="44" t="s">
        <v>8</v>
      </c>
      <c r="H61" s="46" t="s">
        <v>9</v>
      </c>
      <c r="I61" s="45" t="s">
        <v>10</v>
      </c>
      <c r="J61" s="46" t="s">
        <v>11</v>
      </c>
      <c r="K61" s="47" t="s">
        <v>12</v>
      </c>
    </row>
    <row r="62" spans="1:18" ht="16" thickBot="1" x14ac:dyDescent="0.25">
      <c r="A62" s="27"/>
      <c r="B62" s="42"/>
      <c r="C62" s="28"/>
      <c r="D62" s="28"/>
      <c r="E62" s="29"/>
      <c r="F62" s="30"/>
      <c r="G62" s="29">
        <f>IF(F62=0,E62,(E62*(1-F62)))</f>
        <v>0</v>
      </c>
      <c r="H62" s="20">
        <f>A62*G62</f>
        <v>0</v>
      </c>
      <c r="I62" s="31">
        <v>0.3</v>
      </c>
      <c r="J62" s="20">
        <f>G62/(1-I62)</f>
        <v>0</v>
      </c>
      <c r="K62" s="32">
        <f>H62/(1-I62)</f>
        <v>0</v>
      </c>
    </row>
    <row r="63" spans="1:18" ht="16" thickBot="1" x14ac:dyDescent="0.25">
      <c r="A63" s="9"/>
      <c r="B63" s="10"/>
      <c r="C63" s="10"/>
      <c r="D63" s="10"/>
      <c r="E63" s="4"/>
      <c r="F63" s="6"/>
      <c r="G63" s="4">
        <f>IF(F63=0,E63,(E63*(1-F63)))</f>
        <v>0</v>
      </c>
      <c r="H63" s="14">
        <f>A63*G63</f>
        <v>0</v>
      </c>
      <c r="I63" s="16">
        <v>0.3</v>
      </c>
      <c r="J63" s="14">
        <f t="shared" ref="J63:J80" si="22">G63/(1-I63)</f>
        <v>0</v>
      </c>
      <c r="K63" s="5">
        <f t="shared" ref="K63:K85" si="23">H63/(1-I63)</f>
        <v>0</v>
      </c>
    </row>
    <row r="64" spans="1:18" ht="16" thickBot="1" x14ac:dyDescent="0.25">
      <c r="A64" s="9"/>
      <c r="B64" s="12"/>
      <c r="C64" s="10"/>
      <c r="D64" s="10"/>
      <c r="E64" s="4"/>
      <c r="F64" s="6"/>
      <c r="G64" s="4">
        <f t="shared" ref="G64:G68" si="24">IF(F64=0,E64,(E64*(1-F64)))</f>
        <v>0</v>
      </c>
      <c r="H64" s="14">
        <f t="shared" ref="H64:H68" si="25">A64*G64</f>
        <v>0</v>
      </c>
      <c r="I64" s="16">
        <v>0.3</v>
      </c>
      <c r="J64" s="14">
        <f t="shared" si="22"/>
        <v>0</v>
      </c>
      <c r="K64" s="5">
        <f t="shared" si="23"/>
        <v>0</v>
      </c>
    </row>
    <row r="65" spans="1:17" ht="16" thickBot="1" x14ac:dyDescent="0.25">
      <c r="A65" s="9"/>
      <c r="B65" s="12"/>
      <c r="C65" s="10"/>
      <c r="D65" s="10"/>
      <c r="E65" s="4"/>
      <c r="F65" s="6"/>
      <c r="G65" s="4">
        <f t="shared" si="24"/>
        <v>0</v>
      </c>
      <c r="H65" s="14">
        <f t="shared" si="25"/>
        <v>0</v>
      </c>
      <c r="I65" s="16">
        <v>0.3</v>
      </c>
      <c r="J65" s="14">
        <f t="shared" si="22"/>
        <v>0</v>
      </c>
      <c r="K65" s="5">
        <f t="shared" si="23"/>
        <v>0</v>
      </c>
      <c r="Q65" s="1"/>
    </row>
    <row r="66" spans="1:17" ht="16" thickBot="1" x14ac:dyDescent="0.25">
      <c r="A66" s="9"/>
      <c r="B66" s="12"/>
      <c r="C66" s="10"/>
      <c r="D66" s="10"/>
      <c r="E66" s="4"/>
      <c r="F66" s="6"/>
      <c r="G66" s="4">
        <f t="shared" si="24"/>
        <v>0</v>
      </c>
      <c r="H66" s="14">
        <f t="shared" si="25"/>
        <v>0</v>
      </c>
      <c r="I66" s="16">
        <v>0.3</v>
      </c>
      <c r="J66" s="14">
        <f t="shared" si="22"/>
        <v>0</v>
      </c>
      <c r="K66" s="5">
        <f t="shared" si="23"/>
        <v>0</v>
      </c>
    </row>
    <row r="67" spans="1:17" ht="16" thickBot="1" x14ac:dyDescent="0.25">
      <c r="A67" s="9"/>
      <c r="B67" s="10"/>
      <c r="C67" s="10"/>
      <c r="D67" s="10"/>
      <c r="E67" s="4"/>
      <c r="F67" s="6"/>
      <c r="G67" s="4">
        <f t="shared" si="24"/>
        <v>0</v>
      </c>
      <c r="H67" s="14">
        <f t="shared" si="25"/>
        <v>0</v>
      </c>
      <c r="I67" s="16">
        <v>0.3</v>
      </c>
      <c r="J67" s="14">
        <f t="shared" si="22"/>
        <v>0</v>
      </c>
      <c r="K67" s="5">
        <f t="shared" si="23"/>
        <v>0</v>
      </c>
    </row>
    <row r="68" spans="1:17" ht="16" thickBot="1" x14ac:dyDescent="0.25">
      <c r="A68" s="17"/>
      <c r="B68" s="25"/>
      <c r="C68" s="10"/>
      <c r="D68" s="10"/>
      <c r="E68" s="4"/>
      <c r="F68" s="6"/>
      <c r="G68" s="4">
        <f t="shared" si="24"/>
        <v>0</v>
      </c>
      <c r="H68" s="14">
        <f t="shared" si="25"/>
        <v>0</v>
      </c>
      <c r="I68" s="16">
        <v>0.3</v>
      </c>
      <c r="J68" s="14">
        <f t="shared" si="22"/>
        <v>0</v>
      </c>
      <c r="K68" s="5">
        <f t="shared" si="23"/>
        <v>0</v>
      </c>
    </row>
    <row r="69" spans="1:17" ht="16" thickBot="1" x14ac:dyDescent="0.25">
      <c r="A69" s="9"/>
      <c r="B69" s="12"/>
      <c r="C69" s="10"/>
      <c r="D69" s="10"/>
      <c r="E69" s="4"/>
      <c r="F69" s="6"/>
      <c r="G69" s="4">
        <f>IF(F69=0,E69,(E69*(1-F69)))</f>
        <v>0</v>
      </c>
      <c r="H69" s="14">
        <f>A69*G69</f>
        <v>0</v>
      </c>
      <c r="I69" s="16">
        <v>0.3</v>
      </c>
      <c r="J69" s="14">
        <f t="shared" si="22"/>
        <v>0</v>
      </c>
      <c r="K69" s="5">
        <f t="shared" si="23"/>
        <v>0</v>
      </c>
      <c r="O69" s="3"/>
    </row>
    <row r="70" spans="1:17" ht="16" thickBot="1" x14ac:dyDescent="0.25">
      <c r="A70" s="9"/>
      <c r="B70" s="12"/>
      <c r="C70" s="10"/>
      <c r="D70" s="10"/>
      <c r="E70" s="4"/>
      <c r="F70" s="6"/>
      <c r="G70" s="4">
        <f>IF(F70=0,E70,(E70*(1-F70)))</f>
        <v>0</v>
      </c>
      <c r="H70" s="14">
        <f>A70*G70</f>
        <v>0</v>
      </c>
      <c r="I70" s="16">
        <v>0.3</v>
      </c>
      <c r="J70" s="14">
        <f t="shared" si="22"/>
        <v>0</v>
      </c>
      <c r="K70" s="5">
        <f t="shared" si="23"/>
        <v>0</v>
      </c>
    </row>
    <row r="71" spans="1:17" ht="16" thickBot="1" x14ac:dyDescent="0.25">
      <c r="A71" s="9"/>
      <c r="B71" s="10"/>
      <c r="C71" s="10"/>
      <c r="D71" s="11"/>
      <c r="E71" s="4"/>
      <c r="F71" s="6"/>
      <c r="G71" s="4">
        <f t="shared" ref="G71:G80" si="26">IF(F71=0,E71,(E71*(1-F71)))</f>
        <v>0</v>
      </c>
      <c r="H71" s="14">
        <f t="shared" ref="H71:H80" si="27">A71*G71</f>
        <v>0</v>
      </c>
      <c r="I71" s="16">
        <v>0.3</v>
      </c>
      <c r="J71" s="14">
        <f t="shared" si="22"/>
        <v>0</v>
      </c>
      <c r="K71" s="5">
        <f t="shared" si="23"/>
        <v>0</v>
      </c>
    </row>
    <row r="72" spans="1:17" ht="16" thickBot="1" x14ac:dyDescent="0.25">
      <c r="A72" s="9"/>
      <c r="B72" s="12"/>
      <c r="C72" s="10"/>
      <c r="D72" s="10"/>
      <c r="E72" s="4"/>
      <c r="F72" s="6"/>
      <c r="G72" s="4">
        <f t="shared" si="26"/>
        <v>0</v>
      </c>
      <c r="H72" s="14">
        <f t="shared" si="27"/>
        <v>0</v>
      </c>
      <c r="I72" s="16">
        <v>0.3</v>
      </c>
      <c r="J72" s="14">
        <f t="shared" si="22"/>
        <v>0</v>
      </c>
      <c r="K72" s="5">
        <f t="shared" si="23"/>
        <v>0</v>
      </c>
      <c r="P72" s="19"/>
    </row>
    <row r="73" spans="1:17" ht="16" thickBot="1" x14ac:dyDescent="0.25">
      <c r="A73" s="9"/>
      <c r="B73" s="12"/>
      <c r="C73" s="10"/>
      <c r="D73" s="10"/>
      <c r="E73" s="4"/>
      <c r="F73" s="6"/>
      <c r="G73" s="4">
        <f t="shared" si="26"/>
        <v>0</v>
      </c>
      <c r="H73" s="14">
        <f t="shared" si="27"/>
        <v>0</v>
      </c>
      <c r="I73" s="16">
        <v>0.3</v>
      </c>
      <c r="J73" s="14">
        <f t="shared" si="22"/>
        <v>0</v>
      </c>
      <c r="K73" s="5">
        <f t="shared" si="23"/>
        <v>0</v>
      </c>
    </row>
    <row r="74" spans="1:17" ht="16" thickBot="1" x14ac:dyDescent="0.25">
      <c r="A74" s="9"/>
      <c r="B74" s="12"/>
      <c r="C74" s="10"/>
      <c r="D74" s="10"/>
      <c r="E74" s="4"/>
      <c r="F74" s="6"/>
      <c r="G74" s="4">
        <f t="shared" si="26"/>
        <v>0</v>
      </c>
      <c r="H74" s="14">
        <f t="shared" si="27"/>
        <v>0</v>
      </c>
      <c r="I74" s="16">
        <v>0.3</v>
      </c>
      <c r="J74" s="14">
        <f t="shared" si="22"/>
        <v>0</v>
      </c>
      <c r="K74" s="5">
        <f t="shared" si="23"/>
        <v>0</v>
      </c>
      <c r="N74" s="3"/>
    </row>
    <row r="75" spans="1:17" ht="16" thickBot="1" x14ac:dyDescent="0.25">
      <c r="A75" s="9"/>
      <c r="B75" s="12"/>
      <c r="C75" s="10"/>
      <c r="D75" s="10"/>
      <c r="E75" s="4"/>
      <c r="F75" s="6"/>
      <c r="G75" s="4">
        <f t="shared" si="26"/>
        <v>0</v>
      </c>
      <c r="H75" s="14">
        <f t="shared" si="27"/>
        <v>0</v>
      </c>
      <c r="I75" s="16">
        <v>0.3</v>
      </c>
      <c r="J75" s="14">
        <f t="shared" si="22"/>
        <v>0</v>
      </c>
      <c r="K75" s="5">
        <f t="shared" si="23"/>
        <v>0</v>
      </c>
    </row>
    <row r="76" spans="1:17" ht="16" thickBot="1" x14ac:dyDescent="0.25">
      <c r="A76" s="9"/>
      <c r="B76" s="12"/>
      <c r="C76" s="10"/>
      <c r="D76" s="10"/>
      <c r="E76" s="4"/>
      <c r="F76" s="6"/>
      <c r="G76" s="4">
        <f t="shared" si="26"/>
        <v>0</v>
      </c>
      <c r="H76" s="14">
        <f t="shared" si="27"/>
        <v>0</v>
      </c>
      <c r="I76" s="16">
        <v>0.3</v>
      </c>
      <c r="J76" s="14">
        <f t="shared" si="22"/>
        <v>0</v>
      </c>
      <c r="K76" s="5">
        <f t="shared" si="23"/>
        <v>0</v>
      </c>
    </row>
    <row r="77" spans="1:17" ht="16" thickBot="1" x14ac:dyDescent="0.25">
      <c r="A77" s="9"/>
      <c r="B77" s="10"/>
      <c r="C77" s="10"/>
      <c r="D77" s="10"/>
      <c r="E77" s="4"/>
      <c r="F77" s="6"/>
      <c r="G77" s="4">
        <f t="shared" si="26"/>
        <v>0</v>
      </c>
      <c r="H77" s="14">
        <f t="shared" si="27"/>
        <v>0</v>
      </c>
      <c r="I77" s="16">
        <v>0.3</v>
      </c>
      <c r="J77" s="14">
        <f t="shared" si="22"/>
        <v>0</v>
      </c>
      <c r="K77" s="5">
        <f t="shared" si="23"/>
        <v>0</v>
      </c>
      <c r="O77" s="22"/>
      <c r="P77" s="21"/>
    </row>
    <row r="78" spans="1:17" ht="16" thickBot="1" x14ac:dyDescent="0.25">
      <c r="A78" s="9"/>
      <c r="B78" s="10"/>
      <c r="C78" s="10"/>
      <c r="D78" s="10"/>
      <c r="E78" s="4"/>
      <c r="F78" s="6"/>
      <c r="G78" s="4">
        <f t="shared" si="26"/>
        <v>0</v>
      </c>
      <c r="H78" s="14">
        <f t="shared" si="27"/>
        <v>0</v>
      </c>
      <c r="I78" s="16">
        <v>0.3</v>
      </c>
      <c r="J78" s="14">
        <f t="shared" si="22"/>
        <v>0</v>
      </c>
      <c r="K78" s="5">
        <f t="shared" si="23"/>
        <v>0</v>
      </c>
      <c r="O78" s="23"/>
    </row>
    <row r="79" spans="1:17" ht="16" thickBot="1" x14ac:dyDescent="0.25">
      <c r="A79" s="9"/>
      <c r="B79" s="10"/>
      <c r="C79" s="10"/>
      <c r="D79" s="10"/>
      <c r="E79" s="4"/>
      <c r="F79" s="6"/>
      <c r="G79" s="4">
        <f t="shared" si="26"/>
        <v>0</v>
      </c>
      <c r="H79" s="14">
        <f t="shared" si="27"/>
        <v>0</v>
      </c>
      <c r="I79" s="16">
        <v>0.3</v>
      </c>
      <c r="J79" s="14">
        <f t="shared" si="22"/>
        <v>0</v>
      </c>
      <c r="K79" s="5">
        <f t="shared" si="23"/>
        <v>0</v>
      </c>
    </row>
    <row r="80" spans="1:17" ht="16" thickBot="1" x14ac:dyDescent="0.25">
      <c r="A80" s="13"/>
      <c r="B80" s="10"/>
      <c r="C80" s="10"/>
      <c r="D80" s="10"/>
      <c r="E80" s="4"/>
      <c r="F80" s="6"/>
      <c r="G80" s="4">
        <f t="shared" si="26"/>
        <v>0</v>
      </c>
      <c r="H80" s="14">
        <f t="shared" si="27"/>
        <v>0</v>
      </c>
      <c r="I80" s="16">
        <v>0.3</v>
      </c>
      <c r="J80" s="14">
        <f t="shared" si="22"/>
        <v>0</v>
      </c>
      <c r="K80" s="5">
        <f t="shared" si="23"/>
        <v>0</v>
      </c>
    </row>
    <row r="81" spans="1:13" ht="16" thickBot="1" x14ac:dyDescent="0.25">
      <c r="A81" s="9"/>
      <c r="B81" s="10"/>
      <c r="C81" s="10"/>
      <c r="D81" s="10"/>
      <c r="E81" s="4"/>
      <c r="F81" s="6"/>
      <c r="G81" s="4">
        <f>IF(F81=0,E81,(E81*(1-F81)))</f>
        <v>0</v>
      </c>
      <c r="H81" s="14">
        <f>A81*G81</f>
        <v>0</v>
      </c>
      <c r="I81" s="16">
        <v>0.3</v>
      </c>
      <c r="J81" s="14">
        <f>G81/(1-I81)</f>
        <v>0</v>
      </c>
      <c r="K81" s="5">
        <f t="shared" si="23"/>
        <v>0</v>
      </c>
    </row>
    <row r="82" spans="1:13" ht="16" thickBot="1" x14ac:dyDescent="0.25">
      <c r="A82" s="9"/>
      <c r="B82" s="12"/>
      <c r="C82" s="10"/>
      <c r="D82" s="10"/>
      <c r="E82" s="15"/>
      <c r="F82" s="6"/>
      <c r="G82" s="4">
        <f t="shared" ref="G82:G85" si="28">IF(F82=0,E82,(E82*(1-F82)))</f>
        <v>0</v>
      </c>
      <c r="H82" s="14">
        <f t="shared" ref="H82:H85" si="29">A82*G82</f>
        <v>0</v>
      </c>
      <c r="I82" s="16">
        <v>0.3</v>
      </c>
      <c r="J82" s="14">
        <f t="shared" ref="J82:J85" si="30">G82/(1-I82)</f>
        <v>0</v>
      </c>
      <c r="K82" s="5">
        <f t="shared" si="23"/>
        <v>0</v>
      </c>
    </row>
    <row r="83" spans="1:13" ht="16" thickBot="1" x14ac:dyDescent="0.25">
      <c r="A83" s="9"/>
      <c r="B83" s="12"/>
      <c r="C83" s="10"/>
      <c r="D83" s="10"/>
      <c r="E83" s="4"/>
      <c r="F83" s="6"/>
      <c r="G83" s="4">
        <f t="shared" si="28"/>
        <v>0</v>
      </c>
      <c r="H83" s="14">
        <f t="shared" si="29"/>
        <v>0</v>
      </c>
      <c r="I83" s="16">
        <v>0.3</v>
      </c>
      <c r="J83" s="14">
        <f t="shared" si="30"/>
        <v>0</v>
      </c>
      <c r="K83" s="5">
        <f t="shared" si="23"/>
        <v>0</v>
      </c>
    </row>
    <row r="84" spans="1:13" ht="16" thickBot="1" x14ac:dyDescent="0.25">
      <c r="A84" s="9"/>
      <c r="B84" s="12"/>
      <c r="C84" s="10"/>
      <c r="D84" s="10"/>
      <c r="E84" s="4"/>
      <c r="F84" s="6"/>
      <c r="G84" s="4">
        <f t="shared" si="28"/>
        <v>0</v>
      </c>
      <c r="H84" s="14">
        <f t="shared" si="29"/>
        <v>0</v>
      </c>
      <c r="I84" s="16">
        <v>0.3</v>
      </c>
      <c r="J84" s="14">
        <f t="shared" si="30"/>
        <v>0</v>
      </c>
      <c r="K84" s="5">
        <f t="shared" si="23"/>
        <v>0</v>
      </c>
    </row>
    <row r="85" spans="1:13" ht="16" thickBot="1" x14ac:dyDescent="0.25">
      <c r="A85" s="33"/>
      <c r="B85" s="34"/>
      <c r="C85" s="35"/>
      <c r="D85" s="35"/>
      <c r="E85" s="36"/>
      <c r="F85" s="37"/>
      <c r="G85" s="38">
        <f t="shared" si="28"/>
        <v>0</v>
      </c>
      <c r="H85" s="39">
        <f t="shared" si="29"/>
        <v>0</v>
      </c>
      <c r="I85" s="40">
        <v>0.3</v>
      </c>
      <c r="J85" s="39">
        <f t="shared" si="30"/>
        <v>0</v>
      </c>
      <c r="K85" s="41">
        <f t="shared" si="23"/>
        <v>0</v>
      </c>
    </row>
    <row r="86" spans="1:13" ht="16" thickBot="1" x14ac:dyDescent="0.25">
      <c r="A86" s="48">
        <f>SUM(A62:A85)</f>
        <v>0</v>
      </c>
      <c r="B86" s="49"/>
      <c r="C86" s="49"/>
      <c r="D86" s="49"/>
      <c r="E86" s="50"/>
      <c r="F86" s="51" t="e">
        <f>MEDIAN(F62:F85)</f>
        <v>#NUM!</v>
      </c>
      <c r="G86" s="50"/>
      <c r="H86" s="52">
        <f>SUM(H62:H85)</f>
        <v>0</v>
      </c>
      <c r="I86" s="53">
        <f>MEDIAN(I62:I85)</f>
        <v>0.3</v>
      </c>
      <c r="J86" s="52"/>
      <c r="K86" s="54">
        <f>SUM(K62:K85)</f>
        <v>0</v>
      </c>
    </row>
    <row r="87" spans="1:13" ht="16" thickBot="1" x14ac:dyDescent="0.25">
      <c r="A87" s="89" t="s">
        <v>15</v>
      </c>
      <c r="B87" s="90"/>
      <c r="C87" s="90"/>
      <c r="D87" s="90"/>
      <c r="E87" s="90"/>
      <c r="F87" s="90"/>
      <c r="G87" s="90"/>
      <c r="H87" s="90"/>
      <c r="I87" s="90"/>
      <c r="J87" s="90"/>
      <c r="K87" s="91"/>
    </row>
    <row r="88" spans="1:13" ht="16" thickBot="1" x14ac:dyDescent="0.25">
      <c r="A88" s="27"/>
      <c r="B88" s="42"/>
      <c r="C88" s="28"/>
      <c r="D88" s="28"/>
      <c r="E88" s="29"/>
      <c r="F88" s="30"/>
      <c r="G88" s="29">
        <f>IF(F88=0,E88,(E88*(1-F88)))</f>
        <v>0</v>
      </c>
      <c r="H88" s="20">
        <f>A88*G88</f>
        <v>0</v>
      </c>
      <c r="I88" s="31">
        <v>0.3</v>
      </c>
      <c r="J88" s="20">
        <f>G88/(1-I88)</f>
        <v>0</v>
      </c>
      <c r="K88" s="32">
        <f>H88/(1-I88)</f>
        <v>0</v>
      </c>
      <c r="L88" s="24" t="s">
        <v>13</v>
      </c>
      <c r="M88" s="24"/>
    </row>
    <row r="89" spans="1:13" ht="16" thickBot="1" x14ac:dyDescent="0.25">
      <c r="A89" s="9"/>
      <c r="B89" s="10"/>
      <c r="C89" s="10"/>
      <c r="D89" s="10"/>
      <c r="E89" s="4"/>
      <c r="F89" s="6"/>
      <c r="G89" s="4">
        <f>IF(F89=0,E89,(E89*(1-F89)))</f>
        <v>0</v>
      </c>
      <c r="H89" s="14">
        <f>A89*G89</f>
        <v>0</v>
      </c>
      <c r="I89" s="16">
        <v>0.3</v>
      </c>
      <c r="J89" s="14">
        <f t="shared" ref="J89:J93" si="31">G89/(1-I89)</f>
        <v>0</v>
      </c>
      <c r="K89" s="5">
        <f t="shared" ref="K89:K93" si="32">H89/(1-I89)</f>
        <v>0</v>
      </c>
    </row>
    <row r="90" spans="1:13" ht="16" thickBot="1" x14ac:dyDescent="0.25">
      <c r="A90" s="9"/>
      <c r="B90" s="12"/>
      <c r="C90" s="10"/>
      <c r="D90" s="10"/>
      <c r="E90" s="4"/>
      <c r="F90" s="6"/>
      <c r="G90" s="4">
        <f t="shared" ref="G90:G93" si="33">IF(F90=0,E90,(E90*(1-F90)))</f>
        <v>0</v>
      </c>
      <c r="H90" s="14">
        <f t="shared" ref="H90:H93" si="34">A90*G90</f>
        <v>0</v>
      </c>
      <c r="I90" s="16">
        <v>0.3</v>
      </c>
      <c r="J90" s="14">
        <f t="shared" si="31"/>
        <v>0</v>
      </c>
      <c r="K90" s="5">
        <f t="shared" si="32"/>
        <v>0</v>
      </c>
    </row>
    <row r="91" spans="1:13" ht="16" thickBot="1" x14ac:dyDescent="0.25">
      <c r="A91" s="9"/>
      <c r="B91" s="12"/>
      <c r="C91" s="10"/>
      <c r="D91" s="10"/>
      <c r="E91" s="4"/>
      <c r="F91" s="6"/>
      <c r="G91" s="4">
        <f t="shared" si="33"/>
        <v>0</v>
      </c>
      <c r="H91" s="14">
        <f t="shared" si="34"/>
        <v>0</v>
      </c>
      <c r="I91" s="16">
        <v>0.3</v>
      </c>
      <c r="J91" s="14">
        <f t="shared" si="31"/>
        <v>0</v>
      </c>
      <c r="K91" s="5">
        <f t="shared" si="32"/>
        <v>0</v>
      </c>
    </row>
    <row r="92" spans="1:13" ht="16" thickBot="1" x14ac:dyDescent="0.25">
      <c r="A92" s="9"/>
      <c r="B92" s="12"/>
      <c r="C92" s="10"/>
      <c r="D92" s="10"/>
      <c r="E92" s="4"/>
      <c r="F92" s="6"/>
      <c r="G92" s="4">
        <f t="shared" si="33"/>
        <v>0</v>
      </c>
      <c r="H92" s="14">
        <f t="shared" si="34"/>
        <v>0</v>
      </c>
      <c r="I92" s="16">
        <v>0.3</v>
      </c>
      <c r="J92" s="14">
        <f t="shared" si="31"/>
        <v>0</v>
      </c>
      <c r="K92" s="5">
        <f t="shared" si="32"/>
        <v>0</v>
      </c>
    </row>
    <row r="93" spans="1:13" ht="16" thickBot="1" x14ac:dyDescent="0.25">
      <c r="A93" s="9"/>
      <c r="B93" s="10"/>
      <c r="C93" s="10"/>
      <c r="D93" s="10"/>
      <c r="E93" s="4"/>
      <c r="F93" s="6"/>
      <c r="G93" s="4">
        <f t="shared" si="33"/>
        <v>0</v>
      </c>
      <c r="H93" s="14">
        <f t="shared" si="34"/>
        <v>0</v>
      </c>
      <c r="I93" s="16">
        <v>0.3</v>
      </c>
      <c r="J93" s="14">
        <f t="shared" si="31"/>
        <v>0</v>
      </c>
      <c r="K93" s="5">
        <f t="shared" si="32"/>
        <v>0</v>
      </c>
    </row>
    <row r="94" spans="1:13" ht="16" thickBot="1" x14ac:dyDescent="0.25">
      <c r="A94" s="48">
        <f>SUM(A88:A93)</f>
        <v>0</v>
      </c>
      <c r="B94" s="49"/>
      <c r="C94" s="49"/>
      <c r="D94" s="49"/>
      <c r="E94" s="50"/>
      <c r="F94" s="51" t="e">
        <f>MEDIAN(F88:F93)</f>
        <v>#NUM!</v>
      </c>
      <c r="G94" s="50"/>
      <c r="H94" s="52">
        <f>SUM(H88:H93)</f>
        <v>0</v>
      </c>
      <c r="I94" s="53">
        <f>MEDIAN(I88:I93)</f>
        <v>0.3</v>
      </c>
      <c r="J94" s="52"/>
      <c r="K94" s="54">
        <f>SUM(K88:K93)</f>
        <v>0</v>
      </c>
    </row>
    <row r="95" spans="1:13" ht="16" thickBot="1" x14ac:dyDescent="0.25">
      <c r="A95" s="89" t="s">
        <v>16</v>
      </c>
      <c r="B95" s="90"/>
      <c r="C95" s="90"/>
      <c r="D95" s="90"/>
      <c r="E95" s="90"/>
      <c r="F95" s="90"/>
      <c r="G95" s="90"/>
      <c r="H95" s="90"/>
      <c r="I95" s="90"/>
      <c r="J95" s="90"/>
      <c r="K95" s="91"/>
    </row>
    <row r="96" spans="1:13" ht="16" thickBot="1" x14ac:dyDescent="0.25">
      <c r="A96" s="27"/>
      <c r="B96" s="42"/>
      <c r="C96" s="28"/>
      <c r="D96" s="28"/>
      <c r="E96" s="29"/>
      <c r="F96" s="30"/>
      <c r="G96" s="29">
        <f>IF(F96=0,E96,(E96*(1-F96)))</f>
        <v>0</v>
      </c>
      <c r="H96" s="20">
        <f>A96*G96</f>
        <v>0</v>
      </c>
      <c r="I96" s="31">
        <v>0.3</v>
      </c>
      <c r="J96" s="20">
        <f>G96/(1-I96)</f>
        <v>0</v>
      </c>
      <c r="K96" s="32">
        <f>H96/(1-I96)</f>
        <v>0</v>
      </c>
    </row>
    <row r="97" spans="1:11" ht="16" thickBot="1" x14ac:dyDescent="0.25">
      <c r="A97" s="9"/>
      <c r="B97" s="12"/>
      <c r="C97" s="10"/>
      <c r="D97" s="10"/>
      <c r="E97" s="4"/>
      <c r="F97" s="6"/>
      <c r="G97" s="4">
        <f t="shared" ref="G97:G99" si="35">IF(F97=0,E97,(E97*(1-F97)))</f>
        <v>0</v>
      </c>
      <c r="H97" s="14">
        <f t="shared" ref="H97:H99" si="36">A97*G97</f>
        <v>0</v>
      </c>
      <c r="I97" s="16">
        <v>0.3</v>
      </c>
      <c r="J97" s="14">
        <f t="shared" ref="J97:J99" si="37">G97/(1-I97)</f>
        <v>0</v>
      </c>
      <c r="K97" s="5">
        <f t="shared" ref="K97:K99" si="38">H97/(1-I97)</f>
        <v>0</v>
      </c>
    </row>
    <row r="98" spans="1:11" ht="16" thickBot="1" x14ac:dyDescent="0.25">
      <c r="A98" s="9"/>
      <c r="B98" s="12"/>
      <c r="C98" s="10"/>
      <c r="D98" s="10"/>
      <c r="E98" s="4"/>
      <c r="F98" s="6"/>
      <c r="G98" s="4">
        <f t="shared" si="35"/>
        <v>0</v>
      </c>
      <c r="H98" s="14">
        <f t="shared" si="36"/>
        <v>0</v>
      </c>
      <c r="I98" s="16">
        <v>0.3</v>
      </c>
      <c r="J98" s="14">
        <f t="shared" si="37"/>
        <v>0</v>
      </c>
      <c r="K98" s="5">
        <f t="shared" si="38"/>
        <v>0</v>
      </c>
    </row>
    <row r="99" spans="1:11" ht="16" thickBot="1" x14ac:dyDescent="0.25">
      <c r="A99" s="9"/>
      <c r="B99" s="10"/>
      <c r="C99" s="10"/>
      <c r="D99" s="10"/>
      <c r="E99" s="4"/>
      <c r="F99" s="6"/>
      <c r="G99" s="4">
        <f t="shared" si="35"/>
        <v>0</v>
      </c>
      <c r="H99" s="14">
        <f t="shared" si="36"/>
        <v>0</v>
      </c>
      <c r="I99" s="16">
        <v>0.3</v>
      </c>
      <c r="J99" s="14">
        <f t="shared" si="37"/>
        <v>0</v>
      </c>
      <c r="K99" s="5">
        <f t="shared" si="38"/>
        <v>0</v>
      </c>
    </row>
    <row r="100" spans="1:11" ht="16" thickBot="1" x14ac:dyDescent="0.25">
      <c r="A100" s="48">
        <f>SUM(A96:A99)</f>
        <v>0</v>
      </c>
      <c r="B100" s="49"/>
      <c r="C100" s="49"/>
      <c r="D100" s="49"/>
      <c r="E100" s="50"/>
      <c r="F100" s="51" t="e">
        <f>MEDIAN(F96:F99)</f>
        <v>#NUM!</v>
      </c>
      <c r="G100" s="50"/>
      <c r="H100" s="52">
        <f>SUM(H96:H99)</f>
        <v>0</v>
      </c>
      <c r="I100" s="53">
        <f>MEDIAN(I96:I99)</f>
        <v>0.3</v>
      </c>
      <c r="J100" s="52"/>
      <c r="K100" s="54">
        <f>SUM(K96:K99)</f>
        <v>0</v>
      </c>
    </row>
    <row r="101" spans="1:11" ht="16" thickBot="1" x14ac:dyDescent="0.25">
      <c r="A101" s="89" t="s">
        <v>17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1"/>
    </row>
    <row r="102" spans="1:11" ht="16" thickBot="1" x14ac:dyDescent="0.25">
      <c r="A102" s="27"/>
      <c r="B102" s="42"/>
      <c r="C102" s="28"/>
      <c r="D102" s="28"/>
      <c r="E102" s="29"/>
      <c r="F102" s="30"/>
      <c r="G102" s="29">
        <f>IF(F102=0,E102,(E102*(1-F102)))</f>
        <v>0</v>
      </c>
      <c r="H102" s="20">
        <f>A102*G102</f>
        <v>0</v>
      </c>
      <c r="I102" s="31">
        <v>0.3</v>
      </c>
      <c r="J102" s="20">
        <f>G102/(1-I102)</f>
        <v>0</v>
      </c>
      <c r="K102" s="32">
        <f>H102/(1-I102)</f>
        <v>0</v>
      </c>
    </row>
    <row r="103" spans="1:11" ht="16" thickBot="1" x14ac:dyDescent="0.25">
      <c r="A103" s="9"/>
      <c r="B103" s="12"/>
      <c r="C103" s="10"/>
      <c r="D103" s="10"/>
      <c r="E103" s="4"/>
      <c r="F103" s="6"/>
      <c r="G103" s="4">
        <f t="shared" ref="G103:G105" si="39">IF(F103=0,E103,(E103*(1-F103)))</f>
        <v>0</v>
      </c>
      <c r="H103" s="14">
        <f t="shared" ref="H103:H105" si="40">A103*G103</f>
        <v>0</v>
      </c>
      <c r="I103" s="16">
        <v>0.3</v>
      </c>
      <c r="J103" s="14">
        <f t="shared" ref="J103:J105" si="41">G103/(1-I103)</f>
        <v>0</v>
      </c>
      <c r="K103" s="5">
        <f t="shared" ref="K103:K105" si="42">H103/(1-I103)</f>
        <v>0</v>
      </c>
    </row>
    <row r="104" spans="1:11" ht="16" thickBot="1" x14ac:dyDescent="0.25">
      <c r="A104" s="9"/>
      <c r="B104" s="12"/>
      <c r="C104" s="10"/>
      <c r="D104" s="10"/>
      <c r="E104" s="4"/>
      <c r="F104" s="6"/>
      <c r="G104" s="4">
        <f t="shared" si="39"/>
        <v>0</v>
      </c>
      <c r="H104" s="14">
        <f t="shared" si="40"/>
        <v>0</v>
      </c>
      <c r="I104" s="16">
        <v>0.3</v>
      </c>
      <c r="J104" s="14">
        <f t="shared" si="41"/>
        <v>0</v>
      </c>
      <c r="K104" s="5">
        <f t="shared" si="42"/>
        <v>0</v>
      </c>
    </row>
    <row r="105" spans="1:11" ht="16" thickBot="1" x14ac:dyDescent="0.25">
      <c r="A105" s="9"/>
      <c r="B105" s="10"/>
      <c r="C105" s="10"/>
      <c r="D105" s="10"/>
      <c r="E105" s="4"/>
      <c r="F105" s="6"/>
      <c r="G105" s="4">
        <f t="shared" si="39"/>
        <v>0</v>
      </c>
      <c r="H105" s="14">
        <f t="shared" si="40"/>
        <v>0</v>
      </c>
      <c r="I105" s="16">
        <v>0.3</v>
      </c>
      <c r="J105" s="14">
        <f t="shared" si="41"/>
        <v>0</v>
      </c>
      <c r="K105" s="5">
        <f t="shared" si="42"/>
        <v>0</v>
      </c>
    </row>
    <row r="106" spans="1:11" ht="16" thickBot="1" x14ac:dyDescent="0.25">
      <c r="A106" s="48">
        <f>SUM(A102:A105)</f>
        <v>0</v>
      </c>
      <c r="B106" s="49"/>
      <c r="C106" s="49"/>
      <c r="D106" s="49"/>
      <c r="E106" s="50"/>
      <c r="F106" s="51" t="e">
        <f>MEDIAN(F102:F105)</f>
        <v>#NUM!</v>
      </c>
      <c r="G106" s="50"/>
      <c r="H106" s="52">
        <f>SUM(H102:H105)</f>
        <v>0</v>
      </c>
      <c r="I106" s="53">
        <f>MEDIAN(I102:I105)</f>
        <v>0.3</v>
      </c>
      <c r="J106" s="52"/>
      <c r="K106" s="54">
        <f>SUM(K102:K105)</f>
        <v>0</v>
      </c>
    </row>
    <row r="107" spans="1:11" ht="16" thickBot="1" x14ac:dyDescent="0.25">
      <c r="A107" s="89" t="s">
        <v>22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1"/>
    </row>
    <row r="108" spans="1:11" ht="16" thickBot="1" x14ac:dyDescent="0.25">
      <c r="A108" s="27"/>
      <c r="B108" s="42"/>
      <c r="C108" s="28"/>
      <c r="D108" s="28"/>
      <c r="E108" s="29"/>
      <c r="F108" s="30"/>
      <c r="G108" s="29">
        <f>IF(F108=0,E108,(E108*(1-F108)))</f>
        <v>0</v>
      </c>
      <c r="H108" s="20">
        <f>A108*G108</f>
        <v>0</v>
      </c>
      <c r="I108" s="31">
        <v>0.3</v>
      </c>
      <c r="J108" s="20">
        <f>G108/(1-I108)</f>
        <v>0</v>
      </c>
      <c r="K108" s="32">
        <f>H108/(1-I108)</f>
        <v>0</v>
      </c>
    </row>
    <row r="109" spans="1:11" ht="16" thickBot="1" x14ac:dyDescent="0.25">
      <c r="A109" s="9"/>
      <c r="B109" s="12"/>
      <c r="C109" s="10"/>
      <c r="D109" s="10"/>
      <c r="E109" s="4"/>
      <c r="F109" s="6"/>
      <c r="G109" s="4">
        <f t="shared" ref="G109:G111" si="43">IF(F109=0,E109,(E109*(1-F109)))</f>
        <v>0</v>
      </c>
      <c r="H109" s="14">
        <f t="shared" ref="H109:H111" si="44">A109*G109</f>
        <v>0</v>
      </c>
      <c r="I109" s="16">
        <v>0.3</v>
      </c>
      <c r="J109" s="14">
        <f t="shared" ref="J109:J111" si="45">G109/(1-I109)</f>
        <v>0</v>
      </c>
      <c r="K109" s="5">
        <f t="shared" ref="K109:K111" si="46">H109/(1-I109)</f>
        <v>0</v>
      </c>
    </row>
    <row r="110" spans="1:11" ht="16" thickBot="1" x14ac:dyDescent="0.25">
      <c r="A110" s="9"/>
      <c r="B110" s="12"/>
      <c r="C110" s="10"/>
      <c r="D110" s="10"/>
      <c r="E110" s="4"/>
      <c r="F110" s="6"/>
      <c r="G110" s="4">
        <f t="shared" si="43"/>
        <v>0</v>
      </c>
      <c r="H110" s="14">
        <f t="shared" si="44"/>
        <v>0</v>
      </c>
      <c r="I110" s="16">
        <v>0.3</v>
      </c>
      <c r="J110" s="14">
        <f t="shared" si="45"/>
        <v>0</v>
      </c>
      <c r="K110" s="5">
        <f t="shared" si="46"/>
        <v>0</v>
      </c>
    </row>
    <row r="111" spans="1:11" ht="16" thickBot="1" x14ac:dyDescent="0.25">
      <c r="A111" s="9"/>
      <c r="B111" s="10"/>
      <c r="C111" s="10"/>
      <c r="D111" s="10"/>
      <c r="E111" s="4"/>
      <c r="F111" s="6"/>
      <c r="G111" s="4">
        <f t="shared" si="43"/>
        <v>0</v>
      </c>
      <c r="H111" s="14">
        <f t="shared" si="44"/>
        <v>0</v>
      </c>
      <c r="I111" s="16">
        <v>0.3</v>
      </c>
      <c r="J111" s="14">
        <f t="shared" si="45"/>
        <v>0</v>
      </c>
      <c r="K111" s="5">
        <f t="shared" si="46"/>
        <v>0</v>
      </c>
    </row>
    <row r="112" spans="1:11" ht="16" thickBot="1" x14ac:dyDescent="0.25">
      <c r="A112" s="48">
        <f>SUM(A108:A111)</f>
        <v>0</v>
      </c>
      <c r="B112" s="49"/>
      <c r="C112" s="49"/>
      <c r="D112" s="49"/>
      <c r="E112" s="50"/>
      <c r="F112" s="51" t="e">
        <f>MEDIAN(F108:F111)</f>
        <v>#NUM!</v>
      </c>
      <c r="G112" s="50"/>
      <c r="H112" s="52">
        <f>SUM(H108:H111)</f>
        <v>0</v>
      </c>
      <c r="I112" s="53">
        <f>MEDIAN(I108:I111)</f>
        <v>0.3</v>
      </c>
      <c r="J112" s="52"/>
      <c r="K112" s="54">
        <f>SUM(K108:K111)</f>
        <v>0</v>
      </c>
    </row>
    <row r="113" spans="1:11" ht="16" thickBot="1" x14ac:dyDescent="0.25">
      <c r="A113" s="43" t="s">
        <v>2</v>
      </c>
      <c r="B113" s="44" t="s">
        <v>3</v>
      </c>
      <c r="C113" s="44" t="s">
        <v>4</v>
      </c>
      <c r="D113" s="44" t="s">
        <v>5</v>
      </c>
      <c r="E113" s="44" t="s">
        <v>6</v>
      </c>
      <c r="F113" s="45" t="s">
        <v>7</v>
      </c>
      <c r="G113" s="44" t="s">
        <v>8</v>
      </c>
      <c r="H113" s="46" t="s">
        <v>9</v>
      </c>
      <c r="I113" s="45" t="s">
        <v>10</v>
      </c>
      <c r="J113" s="46" t="s">
        <v>11</v>
      </c>
      <c r="K113" s="47" t="s">
        <v>12</v>
      </c>
    </row>
    <row r="114" spans="1:11" ht="19" x14ac:dyDescent="0.25">
      <c r="A114" s="55"/>
      <c r="B114" s="55"/>
      <c r="C114" s="55"/>
      <c r="D114" s="55"/>
      <c r="E114" s="56"/>
      <c r="F114" s="57" t="e">
        <f>MEDIAN(F112,F106,F100,F94,F86)</f>
        <v>#NUM!</v>
      </c>
      <c r="G114" s="56"/>
      <c r="H114" s="58">
        <f>SUM(H112,H106,H100,H86,H94)</f>
        <v>0</v>
      </c>
      <c r="I114" s="59">
        <f>MEDIAN(I112,I106,I100,I94,I86)</f>
        <v>0.3</v>
      </c>
      <c r="J114" s="58"/>
      <c r="K114" s="58">
        <f>SUM(K112,K106,K100,K94,K86)</f>
        <v>0</v>
      </c>
    </row>
    <row r="115" spans="1:11" x14ac:dyDescent="0.2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</row>
    <row r="116" spans="1:11" ht="16" thickBot="1" x14ac:dyDescent="0.25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</row>
    <row r="117" spans="1:11" x14ac:dyDescent="0.2">
      <c r="A117" s="92" t="s">
        <v>24</v>
      </c>
      <c r="B117" s="93"/>
      <c r="C117" s="93"/>
      <c r="D117" s="93"/>
      <c r="E117" s="93"/>
      <c r="F117" s="93"/>
      <c r="G117" s="93"/>
      <c r="H117" s="93"/>
      <c r="I117" s="93"/>
      <c r="J117" s="93"/>
      <c r="K117" s="94"/>
    </row>
    <row r="118" spans="1:11" x14ac:dyDescent="0.2">
      <c r="A118" s="88" t="s">
        <v>1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88"/>
    </row>
    <row r="119" spans="1:11" ht="16" thickBot="1" x14ac:dyDescent="0.25">
      <c r="A119" s="43" t="s">
        <v>2</v>
      </c>
      <c r="B119" s="44" t="s">
        <v>3</v>
      </c>
      <c r="C119" s="44" t="s">
        <v>4</v>
      </c>
      <c r="D119" s="44" t="s">
        <v>5</v>
      </c>
      <c r="E119" s="44" t="s">
        <v>6</v>
      </c>
      <c r="F119" s="45" t="s">
        <v>7</v>
      </c>
      <c r="G119" s="44" t="s">
        <v>8</v>
      </c>
      <c r="H119" s="46" t="s">
        <v>9</v>
      </c>
      <c r="I119" s="45" t="s">
        <v>10</v>
      </c>
      <c r="J119" s="46" t="s">
        <v>11</v>
      </c>
      <c r="K119" s="47" t="s">
        <v>12</v>
      </c>
    </row>
    <row r="120" spans="1:11" ht="16" thickBot="1" x14ac:dyDescent="0.25">
      <c r="A120" s="27"/>
      <c r="B120" s="42"/>
      <c r="C120" s="28"/>
      <c r="D120" s="28"/>
      <c r="E120" s="29"/>
      <c r="F120" s="30"/>
      <c r="G120" s="29">
        <f>IF(F120=0,E120,(E120*(1-F120)))</f>
        <v>0</v>
      </c>
      <c r="H120" s="20">
        <f>A120*G120</f>
        <v>0</v>
      </c>
      <c r="I120" s="31">
        <v>0.3</v>
      </c>
      <c r="J120" s="20">
        <f>G120/(1-I120)</f>
        <v>0</v>
      </c>
      <c r="K120" s="32">
        <f>H120/(1-I120)</f>
        <v>0</v>
      </c>
    </row>
    <row r="121" spans="1:11" ht="16" thickBot="1" x14ac:dyDescent="0.25">
      <c r="A121" s="9"/>
      <c r="B121" s="10"/>
      <c r="C121" s="10"/>
      <c r="D121" s="10"/>
      <c r="E121" s="4"/>
      <c r="F121" s="6"/>
      <c r="G121" s="4">
        <f>IF(F121=0,E121,(E121*(1-F121)))</f>
        <v>0</v>
      </c>
      <c r="H121" s="14">
        <f>A121*G121</f>
        <v>0</v>
      </c>
      <c r="I121" s="16">
        <v>0.3</v>
      </c>
      <c r="J121" s="14">
        <f t="shared" ref="J121:J138" si="47">G121/(1-I121)</f>
        <v>0</v>
      </c>
      <c r="K121" s="5">
        <f t="shared" ref="K121:K143" si="48">H121/(1-I121)</f>
        <v>0</v>
      </c>
    </row>
    <row r="122" spans="1:11" ht="16" thickBot="1" x14ac:dyDescent="0.25">
      <c r="A122" s="9"/>
      <c r="B122" s="12"/>
      <c r="C122" s="10"/>
      <c r="D122" s="10"/>
      <c r="E122" s="4"/>
      <c r="F122" s="6"/>
      <c r="G122" s="4">
        <f t="shared" ref="G122:G126" si="49">IF(F122=0,E122,(E122*(1-F122)))</f>
        <v>0</v>
      </c>
      <c r="H122" s="14">
        <f t="shared" ref="H122:H126" si="50">A122*G122</f>
        <v>0</v>
      </c>
      <c r="I122" s="16">
        <v>0.3</v>
      </c>
      <c r="J122" s="14">
        <f t="shared" si="47"/>
        <v>0</v>
      </c>
      <c r="K122" s="5">
        <f t="shared" si="48"/>
        <v>0</v>
      </c>
    </row>
    <row r="123" spans="1:11" ht="16" thickBot="1" x14ac:dyDescent="0.25">
      <c r="A123" s="9"/>
      <c r="B123" s="12"/>
      <c r="C123" s="10"/>
      <c r="D123" s="10"/>
      <c r="E123" s="4"/>
      <c r="F123" s="6"/>
      <c r="G123" s="4">
        <f t="shared" si="49"/>
        <v>0</v>
      </c>
      <c r="H123" s="14">
        <f t="shared" si="50"/>
        <v>0</v>
      </c>
      <c r="I123" s="16">
        <v>0.3</v>
      </c>
      <c r="J123" s="14">
        <f t="shared" si="47"/>
        <v>0</v>
      </c>
      <c r="K123" s="5">
        <f t="shared" si="48"/>
        <v>0</v>
      </c>
    </row>
    <row r="124" spans="1:11" ht="16" thickBot="1" x14ac:dyDescent="0.25">
      <c r="A124" s="9"/>
      <c r="B124" s="12"/>
      <c r="C124" s="10"/>
      <c r="D124" s="10"/>
      <c r="E124" s="4"/>
      <c r="F124" s="6"/>
      <c r="G124" s="4">
        <f t="shared" si="49"/>
        <v>0</v>
      </c>
      <c r="H124" s="14">
        <f t="shared" si="50"/>
        <v>0</v>
      </c>
      <c r="I124" s="16">
        <v>0.3</v>
      </c>
      <c r="J124" s="14">
        <f t="shared" si="47"/>
        <v>0</v>
      </c>
      <c r="K124" s="5">
        <f t="shared" si="48"/>
        <v>0</v>
      </c>
    </row>
    <row r="125" spans="1:11" ht="16" thickBot="1" x14ac:dyDescent="0.25">
      <c r="A125" s="9"/>
      <c r="B125" s="10"/>
      <c r="C125" s="10"/>
      <c r="D125" s="10"/>
      <c r="E125" s="4"/>
      <c r="F125" s="6"/>
      <c r="G125" s="4">
        <f t="shared" si="49"/>
        <v>0</v>
      </c>
      <c r="H125" s="14">
        <f t="shared" si="50"/>
        <v>0</v>
      </c>
      <c r="I125" s="16">
        <v>0.3</v>
      </c>
      <c r="J125" s="14">
        <f t="shared" si="47"/>
        <v>0</v>
      </c>
      <c r="K125" s="5">
        <f t="shared" si="48"/>
        <v>0</v>
      </c>
    </row>
    <row r="126" spans="1:11" ht="16" thickBot="1" x14ac:dyDescent="0.25">
      <c r="A126" s="17"/>
      <c r="B126" s="25"/>
      <c r="C126" s="10"/>
      <c r="D126" s="10"/>
      <c r="E126" s="4"/>
      <c r="F126" s="6"/>
      <c r="G126" s="4">
        <f t="shared" si="49"/>
        <v>0</v>
      </c>
      <c r="H126" s="14">
        <f t="shared" si="50"/>
        <v>0</v>
      </c>
      <c r="I126" s="16">
        <v>0.3</v>
      </c>
      <c r="J126" s="14">
        <f t="shared" si="47"/>
        <v>0</v>
      </c>
      <c r="K126" s="5">
        <f t="shared" si="48"/>
        <v>0</v>
      </c>
    </row>
    <row r="127" spans="1:11" ht="16" thickBot="1" x14ac:dyDescent="0.25">
      <c r="A127" s="9"/>
      <c r="B127" s="12"/>
      <c r="C127" s="10"/>
      <c r="D127" s="10"/>
      <c r="E127" s="4"/>
      <c r="F127" s="6"/>
      <c r="G127" s="4">
        <f>IF(F127=0,E127,(E127*(1-F127)))</f>
        <v>0</v>
      </c>
      <c r="H127" s="14">
        <f>A127*G127</f>
        <v>0</v>
      </c>
      <c r="I127" s="16">
        <v>0.3</v>
      </c>
      <c r="J127" s="14">
        <f t="shared" si="47"/>
        <v>0</v>
      </c>
      <c r="K127" s="5">
        <f t="shared" si="48"/>
        <v>0</v>
      </c>
    </row>
    <row r="128" spans="1:11" ht="16" thickBot="1" x14ac:dyDescent="0.25">
      <c r="A128" s="9"/>
      <c r="B128" s="12"/>
      <c r="C128" s="10"/>
      <c r="D128" s="10"/>
      <c r="E128" s="4"/>
      <c r="F128" s="6"/>
      <c r="G128" s="4">
        <f>IF(F128=0,E128,(E128*(1-F128)))</f>
        <v>0</v>
      </c>
      <c r="H128" s="14">
        <f>A128*G128</f>
        <v>0</v>
      </c>
      <c r="I128" s="16">
        <v>0.3</v>
      </c>
      <c r="J128" s="14">
        <f t="shared" si="47"/>
        <v>0</v>
      </c>
      <c r="K128" s="5">
        <f t="shared" si="48"/>
        <v>0</v>
      </c>
    </row>
    <row r="129" spans="1:11" ht="16" thickBot="1" x14ac:dyDescent="0.25">
      <c r="A129" s="9"/>
      <c r="B129" s="10"/>
      <c r="C129" s="10"/>
      <c r="D129" s="11"/>
      <c r="E129" s="4"/>
      <c r="F129" s="6"/>
      <c r="G129" s="4">
        <f t="shared" ref="G129:G138" si="51">IF(F129=0,E129,(E129*(1-F129)))</f>
        <v>0</v>
      </c>
      <c r="H129" s="14">
        <f t="shared" ref="H129:H138" si="52">A129*G129</f>
        <v>0</v>
      </c>
      <c r="I129" s="16">
        <v>0.3</v>
      </c>
      <c r="J129" s="14">
        <f t="shared" si="47"/>
        <v>0</v>
      </c>
      <c r="K129" s="5">
        <f t="shared" si="48"/>
        <v>0</v>
      </c>
    </row>
    <row r="130" spans="1:11" ht="16" thickBot="1" x14ac:dyDescent="0.25">
      <c r="A130" s="9"/>
      <c r="B130" s="12"/>
      <c r="C130" s="10"/>
      <c r="D130" s="10"/>
      <c r="E130" s="4"/>
      <c r="F130" s="6"/>
      <c r="G130" s="4">
        <f t="shared" si="51"/>
        <v>0</v>
      </c>
      <c r="H130" s="14">
        <f t="shared" si="52"/>
        <v>0</v>
      </c>
      <c r="I130" s="16">
        <v>0.3</v>
      </c>
      <c r="J130" s="14">
        <f t="shared" si="47"/>
        <v>0</v>
      </c>
      <c r="K130" s="5">
        <f t="shared" si="48"/>
        <v>0</v>
      </c>
    </row>
    <row r="131" spans="1:11" ht="16" thickBot="1" x14ac:dyDescent="0.25">
      <c r="A131" s="9"/>
      <c r="B131" s="12"/>
      <c r="C131" s="10"/>
      <c r="D131" s="10"/>
      <c r="E131" s="4"/>
      <c r="F131" s="6"/>
      <c r="G131" s="4">
        <f t="shared" si="51"/>
        <v>0</v>
      </c>
      <c r="H131" s="14">
        <f t="shared" si="52"/>
        <v>0</v>
      </c>
      <c r="I131" s="16">
        <v>0.3</v>
      </c>
      <c r="J131" s="14">
        <f t="shared" si="47"/>
        <v>0</v>
      </c>
      <c r="K131" s="5">
        <f t="shared" si="48"/>
        <v>0</v>
      </c>
    </row>
    <row r="132" spans="1:11" ht="16" thickBot="1" x14ac:dyDescent="0.25">
      <c r="A132" s="9"/>
      <c r="B132" s="12"/>
      <c r="C132" s="10"/>
      <c r="D132" s="10"/>
      <c r="E132" s="4"/>
      <c r="F132" s="6"/>
      <c r="G132" s="4">
        <f t="shared" si="51"/>
        <v>0</v>
      </c>
      <c r="H132" s="14">
        <f t="shared" si="52"/>
        <v>0</v>
      </c>
      <c r="I132" s="16">
        <v>0.3</v>
      </c>
      <c r="J132" s="14">
        <f t="shared" si="47"/>
        <v>0</v>
      </c>
      <c r="K132" s="5">
        <f t="shared" si="48"/>
        <v>0</v>
      </c>
    </row>
    <row r="133" spans="1:11" ht="16" thickBot="1" x14ac:dyDescent="0.25">
      <c r="A133" s="9"/>
      <c r="B133" s="12"/>
      <c r="C133" s="10"/>
      <c r="D133" s="10"/>
      <c r="E133" s="4"/>
      <c r="F133" s="6"/>
      <c r="G133" s="4">
        <f t="shared" si="51"/>
        <v>0</v>
      </c>
      <c r="H133" s="14">
        <f t="shared" si="52"/>
        <v>0</v>
      </c>
      <c r="I133" s="16">
        <v>0.3</v>
      </c>
      <c r="J133" s="14">
        <f t="shared" si="47"/>
        <v>0</v>
      </c>
      <c r="K133" s="5">
        <f t="shared" si="48"/>
        <v>0</v>
      </c>
    </row>
    <row r="134" spans="1:11" ht="16" thickBot="1" x14ac:dyDescent="0.25">
      <c r="A134" s="9"/>
      <c r="B134" s="12"/>
      <c r="C134" s="10"/>
      <c r="D134" s="10"/>
      <c r="E134" s="4"/>
      <c r="F134" s="6"/>
      <c r="G134" s="4">
        <f t="shared" si="51"/>
        <v>0</v>
      </c>
      <c r="H134" s="14">
        <f t="shared" si="52"/>
        <v>0</v>
      </c>
      <c r="I134" s="16">
        <v>0.3</v>
      </c>
      <c r="J134" s="14">
        <f t="shared" si="47"/>
        <v>0</v>
      </c>
      <c r="K134" s="5">
        <f t="shared" si="48"/>
        <v>0</v>
      </c>
    </row>
    <row r="135" spans="1:11" ht="16" thickBot="1" x14ac:dyDescent="0.25">
      <c r="A135" s="9"/>
      <c r="B135" s="10"/>
      <c r="C135" s="10"/>
      <c r="D135" s="10"/>
      <c r="E135" s="4"/>
      <c r="F135" s="6"/>
      <c r="G135" s="4">
        <f t="shared" si="51"/>
        <v>0</v>
      </c>
      <c r="H135" s="14">
        <f t="shared" si="52"/>
        <v>0</v>
      </c>
      <c r="I135" s="16">
        <v>0.3</v>
      </c>
      <c r="J135" s="14">
        <f t="shared" si="47"/>
        <v>0</v>
      </c>
      <c r="K135" s="5">
        <f t="shared" si="48"/>
        <v>0</v>
      </c>
    </row>
    <row r="136" spans="1:11" ht="16" thickBot="1" x14ac:dyDescent="0.25">
      <c r="A136" s="9"/>
      <c r="B136" s="10"/>
      <c r="C136" s="10"/>
      <c r="D136" s="10"/>
      <c r="E136" s="4"/>
      <c r="F136" s="6"/>
      <c r="G136" s="4">
        <f t="shared" si="51"/>
        <v>0</v>
      </c>
      <c r="H136" s="14">
        <f t="shared" si="52"/>
        <v>0</v>
      </c>
      <c r="I136" s="16">
        <v>0.3</v>
      </c>
      <c r="J136" s="14">
        <f t="shared" si="47"/>
        <v>0</v>
      </c>
      <c r="K136" s="5">
        <f t="shared" si="48"/>
        <v>0</v>
      </c>
    </row>
    <row r="137" spans="1:11" ht="16" thickBot="1" x14ac:dyDescent="0.25">
      <c r="A137" s="9"/>
      <c r="B137" s="10"/>
      <c r="C137" s="10"/>
      <c r="D137" s="10"/>
      <c r="E137" s="4"/>
      <c r="F137" s="6"/>
      <c r="G137" s="4">
        <f t="shared" si="51"/>
        <v>0</v>
      </c>
      <c r="H137" s="14">
        <f t="shared" si="52"/>
        <v>0</v>
      </c>
      <c r="I137" s="16">
        <v>0.3</v>
      </c>
      <c r="J137" s="14">
        <f t="shared" si="47"/>
        <v>0</v>
      </c>
      <c r="K137" s="5">
        <f t="shared" si="48"/>
        <v>0</v>
      </c>
    </row>
    <row r="138" spans="1:11" ht="16" thickBot="1" x14ac:dyDescent="0.25">
      <c r="A138" s="13"/>
      <c r="B138" s="10"/>
      <c r="C138" s="10"/>
      <c r="D138" s="10"/>
      <c r="E138" s="4"/>
      <c r="F138" s="6"/>
      <c r="G138" s="4">
        <f t="shared" si="51"/>
        <v>0</v>
      </c>
      <c r="H138" s="14">
        <f t="shared" si="52"/>
        <v>0</v>
      </c>
      <c r="I138" s="16">
        <v>0.3</v>
      </c>
      <c r="J138" s="14">
        <f t="shared" si="47"/>
        <v>0</v>
      </c>
      <c r="K138" s="5">
        <f t="shared" si="48"/>
        <v>0</v>
      </c>
    </row>
    <row r="139" spans="1:11" ht="16" thickBot="1" x14ac:dyDescent="0.25">
      <c r="A139" s="9"/>
      <c r="B139" s="10"/>
      <c r="C139" s="10"/>
      <c r="D139" s="10"/>
      <c r="E139" s="4"/>
      <c r="F139" s="6"/>
      <c r="G139" s="4">
        <f>IF(F139=0,E139,(E139*(1-F139)))</f>
        <v>0</v>
      </c>
      <c r="H139" s="14">
        <f>A139*G139</f>
        <v>0</v>
      </c>
      <c r="I139" s="16">
        <v>0.3</v>
      </c>
      <c r="J139" s="14">
        <f>G139/(1-I139)</f>
        <v>0</v>
      </c>
      <c r="K139" s="5">
        <f t="shared" si="48"/>
        <v>0</v>
      </c>
    </row>
    <row r="140" spans="1:11" ht="16" thickBot="1" x14ac:dyDescent="0.25">
      <c r="A140" s="9"/>
      <c r="B140" s="12"/>
      <c r="C140" s="10"/>
      <c r="D140" s="10"/>
      <c r="E140" s="15"/>
      <c r="F140" s="6"/>
      <c r="G140" s="4">
        <f t="shared" ref="G140:G143" si="53">IF(F140=0,E140,(E140*(1-F140)))</f>
        <v>0</v>
      </c>
      <c r="H140" s="14">
        <f t="shared" ref="H140:H143" si="54">A140*G140</f>
        <v>0</v>
      </c>
      <c r="I140" s="16">
        <v>0.3</v>
      </c>
      <c r="J140" s="14">
        <f t="shared" ref="J140:J143" si="55">G140/(1-I140)</f>
        <v>0</v>
      </c>
      <c r="K140" s="5">
        <f t="shared" si="48"/>
        <v>0</v>
      </c>
    </row>
    <row r="141" spans="1:11" ht="16" thickBot="1" x14ac:dyDescent="0.25">
      <c r="A141" s="9"/>
      <c r="B141" s="12"/>
      <c r="C141" s="10"/>
      <c r="D141" s="10"/>
      <c r="E141" s="4"/>
      <c r="F141" s="6"/>
      <c r="G141" s="4">
        <f t="shared" si="53"/>
        <v>0</v>
      </c>
      <c r="H141" s="14">
        <f t="shared" si="54"/>
        <v>0</v>
      </c>
      <c r="I141" s="16">
        <v>0.3</v>
      </c>
      <c r="J141" s="14">
        <f t="shared" si="55"/>
        <v>0</v>
      </c>
      <c r="K141" s="5">
        <f t="shared" si="48"/>
        <v>0</v>
      </c>
    </row>
    <row r="142" spans="1:11" ht="16" thickBot="1" x14ac:dyDescent="0.25">
      <c r="A142" s="9"/>
      <c r="B142" s="12"/>
      <c r="C142" s="10"/>
      <c r="D142" s="10"/>
      <c r="E142" s="4"/>
      <c r="F142" s="6"/>
      <c r="G142" s="4">
        <f t="shared" si="53"/>
        <v>0</v>
      </c>
      <c r="H142" s="14">
        <f t="shared" si="54"/>
        <v>0</v>
      </c>
      <c r="I142" s="16">
        <v>0.3</v>
      </c>
      <c r="J142" s="14">
        <f t="shared" si="55"/>
        <v>0</v>
      </c>
      <c r="K142" s="5">
        <f t="shared" si="48"/>
        <v>0</v>
      </c>
    </row>
    <row r="143" spans="1:11" ht="16" thickBot="1" x14ac:dyDescent="0.25">
      <c r="A143" s="33"/>
      <c r="B143" s="34"/>
      <c r="C143" s="35"/>
      <c r="D143" s="35"/>
      <c r="E143" s="36"/>
      <c r="F143" s="37"/>
      <c r="G143" s="38">
        <f t="shared" si="53"/>
        <v>0</v>
      </c>
      <c r="H143" s="39">
        <f t="shared" si="54"/>
        <v>0</v>
      </c>
      <c r="I143" s="40">
        <v>0.3</v>
      </c>
      <c r="J143" s="39">
        <f t="shared" si="55"/>
        <v>0</v>
      </c>
      <c r="K143" s="41">
        <f t="shared" si="48"/>
        <v>0</v>
      </c>
    </row>
    <row r="144" spans="1:11" ht="16" thickBot="1" x14ac:dyDescent="0.25">
      <c r="A144" s="48">
        <f>SUM(A120:A143)</f>
        <v>0</v>
      </c>
      <c r="B144" s="49"/>
      <c r="C144" s="49"/>
      <c r="D144" s="49"/>
      <c r="E144" s="50"/>
      <c r="F144" s="51" t="e">
        <f>MEDIAN(F120:F143)</f>
        <v>#NUM!</v>
      </c>
      <c r="G144" s="50"/>
      <c r="H144" s="52">
        <f>SUM(H120:H143)</f>
        <v>0</v>
      </c>
      <c r="I144" s="53">
        <f>MEDIAN(I120:I143)</f>
        <v>0.3</v>
      </c>
      <c r="J144" s="52"/>
      <c r="K144" s="54">
        <f>SUM(K120:K143)</f>
        <v>0</v>
      </c>
    </row>
    <row r="145" spans="1:11" ht="16" thickBot="1" x14ac:dyDescent="0.25">
      <c r="A145" s="89" t="s">
        <v>15</v>
      </c>
      <c r="B145" s="90"/>
      <c r="C145" s="90"/>
      <c r="D145" s="90"/>
      <c r="E145" s="90"/>
      <c r="F145" s="90"/>
      <c r="G145" s="90"/>
      <c r="H145" s="90"/>
      <c r="I145" s="90"/>
      <c r="J145" s="90"/>
      <c r="K145" s="91"/>
    </row>
    <row r="146" spans="1:11" ht="16" thickBot="1" x14ac:dyDescent="0.25">
      <c r="A146" s="27"/>
      <c r="B146" s="42"/>
      <c r="C146" s="28"/>
      <c r="D146" s="28"/>
      <c r="E146" s="29"/>
      <c r="F146" s="30"/>
      <c r="G146" s="29">
        <f>IF(F146=0,E146,(E146*(1-F146)))</f>
        <v>0</v>
      </c>
      <c r="H146" s="20">
        <f>A146*G146</f>
        <v>0</v>
      </c>
      <c r="I146" s="31">
        <v>0.3</v>
      </c>
      <c r="J146" s="20">
        <f>G146/(1-I146)</f>
        <v>0</v>
      </c>
      <c r="K146" s="32">
        <f>H146/(1-I146)</f>
        <v>0</v>
      </c>
    </row>
    <row r="147" spans="1:11" ht="16" thickBot="1" x14ac:dyDescent="0.25">
      <c r="A147" s="9"/>
      <c r="B147" s="10"/>
      <c r="C147" s="10"/>
      <c r="D147" s="10"/>
      <c r="E147" s="4"/>
      <c r="F147" s="6"/>
      <c r="G147" s="4">
        <f>IF(F147=0,E147,(E147*(1-F147)))</f>
        <v>0</v>
      </c>
      <c r="H147" s="14">
        <f>A147*G147</f>
        <v>0</v>
      </c>
      <c r="I147" s="16">
        <v>0.3</v>
      </c>
      <c r="J147" s="14">
        <f t="shared" ref="J147:J151" si="56">G147/(1-I147)</f>
        <v>0</v>
      </c>
      <c r="K147" s="5">
        <f t="shared" ref="K147:K151" si="57">H147/(1-I147)</f>
        <v>0</v>
      </c>
    </row>
    <row r="148" spans="1:11" ht="16" thickBot="1" x14ac:dyDescent="0.25">
      <c r="A148" s="9"/>
      <c r="B148" s="12"/>
      <c r="C148" s="10"/>
      <c r="D148" s="10"/>
      <c r="E148" s="4"/>
      <c r="F148" s="6"/>
      <c r="G148" s="4">
        <f t="shared" ref="G148:G151" si="58">IF(F148=0,E148,(E148*(1-F148)))</f>
        <v>0</v>
      </c>
      <c r="H148" s="14">
        <f t="shared" ref="H148:H151" si="59">A148*G148</f>
        <v>0</v>
      </c>
      <c r="I148" s="16">
        <v>0.3</v>
      </c>
      <c r="J148" s="14">
        <f t="shared" si="56"/>
        <v>0</v>
      </c>
      <c r="K148" s="5">
        <f t="shared" si="57"/>
        <v>0</v>
      </c>
    </row>
    <row r="149" spans="1:11" ht="16" thickBot="1" x14ac:dyDescent="0.25">
      <c r="A149" s="9"/>
      <c r="B149" s="12"/>
      <c r="C149" s="10"/>
      <c r="D149" s="10"/>
      <c r="E149" s="4"/>
      <c r="F149" s="6"/>
      <c r="G149" s="4">
        <f t="shared" si="58"/>
        <v>0</v>
      </c>
      <c r="H149" s="14">
        <f t="shared" si="59"/>
        <v>0</v>
      </c>
      <c r="I149" s="16">
        <v>0.3</v>
      </c>
      <c r="J149" s="14">
        <f t="shared" si="56"/>
        <v>0</v>
      </c>
      <c r="K149" s="5">
        <f t="shared" si="57"/>
        <v>0</v>
      </c>
    </row>
    <row r="150" spans="1:11" ht="16" thickBot="1" x14ac:dyDescent="0.25">
      <c r="A150" s="9"/>
      <c r="B150" s="12"/>
      <c r="C150" s="10"/>
      <c r="D150" s="10"/>
      <c r="E150" s="4"/>
      <c r="F150" s="6"/>
      <c r="G150" s="4">
        <f t="shared" si="58"/>
        <v>0</v>
      </c>
      <c r="H150" s="14">
        <f t="shared" si="59"/>
        <v>0</v>
      </c>
      <c r="I150" s="16">
        <v>0.3</v>
      </c>
      <c r="J150" s="14">
        <f t="shared" si="56"/>
        <v>0</v>
      </c>
      <c r="K150" s="5">
        <f t="shared" si="57"/>
        <v>0</v>
      </c>
    </row>
    <row r="151" spans="1:11" ht="16" thickBot="1" x14ac:dyDescent="0.25">
      <c r="A151" s="9"/>
      <c r="B151" s="10"/>
      <c r="C151" s="10"/>
      <c r="D151" s="10"/>
      <c r="E151" s="4"/>
      <c r="F151" s="6"/>
      <c r="G151" s="4">
        <f t="shared" si="58"/>
        <v>0</v>
      </c>
      <c r="H151" s="14">
        <f t="shared" si="59"/>
        <v>0</v>
      </c>
      <c r="I151" s="16">
        <v>0.3</v>
      </c>
      <c r="J151" s="14">
        <f t="shared" si="56"/>
        <v>0</v>
      </c>
      <c r="K151" s="5">
        <f t="shared" si="57"/>
        <v>0</v>
      </c>
    </row>
    <row r="152" spans="1:11" ht="16" thickBot="1" x14ac:dyDescent="0.25">
      <c r="A152" s="48">
        <f>SUM(A146:A151)</f>
        <v>0</v>
      </c>
      <c r="B152" s="49"/>
      <c r="C152" s="49"/>
      <c r="D152" s="49"/>
      <c r="E152" s="50"/>
      <c r="F152" s="51" t="e">
        <f>MEDIAN(F146:F151)</f>
        <v>#NUM!</v>
      </c>
      <c r="G152" s="50"/>
      <c r="H152" s="52">
        <f>SUM(H146:H151)</f>
        <v>0</v>
      </c>
      <c r="I152" s="53">
        <f>MEDIAN(I146:I151)</f>
        <v>0.3</v>
      </c>
      <c r="J152" s="52"/>
      <c r="K152" s="54">
        <f>SUM(K146:K151)</f>
        <v>0</v>
      </c>
    </row>
    <row r="153" spans="1:11" ht="16" thickBot="1" x14ac:dyDescent="0.25">
      <c r="A153" s="89" t="s">
        <v>16</v>
      </c>
      <c r="B153" s="90"/>
      <c r="C153" s="90"/>
      <c r="D153" s="90"/>
      <c r="E153" s="90"/>
      <c r="F153" s="90"/>
      <c r="G153" s="90"/>
      <c r="H153" s="90"/>
      <c r="I153" s="90"/>
      <c r="J153" s="90"/>
      <c r="K153" s="91"/>
    </row>
    <row r="154" spans="1:11" ht="16" thickBot="1" x14ac:dyDescent="0.25">
      <c r="A154" s="27"/>
      <c r="B154" s="42"/>
      <c r="C154" s="28"/>
      <c r="D154" s="28"/>
      <c r="E154" s="29"/>
      <c r="F154" s="30"/>
      <c r="G154" s="29">
        <f>IF(F154=0,E154,(E154*(1-F154)))</f>
        <v>0</v>
      </c>
      <c r="H154" s="20">
        <f>A154*G154</f>
        <v>0</v>
      </c>
      <c r="I154" s="31">
        <v>0.3</v>
      </c>
      <c r="J154" s="20">
        <f>G154/(1-I154)</f>
        <v>0</v>
      </c>
      <c r="K154" s="32">
        <f>H154/(1-I154)</f>
        <v>0</v>
      </c>
    </row>
    <row r="155" spans="1:11" ht="16" thickBot="1" x14ac:dyDescent="0.25">
      <c r="A155" s="9"/>
      <c r="B155" s="12"/>
      <c r="C155" s="10"/>
      <c r="D155" s="10"/>
      <c r="E155" s="4"/>
      <c r="F155" s="6"/>
      <c r="G155" s="4">
        <f t="shared" ref="G155:G157" si="60">IF(F155=0,E155,(E155*(1-F155)))</f>
        <v>0</v>
      </c>
      <c r="H155" s="14">
        <f t="shared" ref="H155:H157" si="61">A155*G155</f>
        <v>0</v>
      </c>
      <c r="I155" s="16">
        <v>0.3</v>
      </c>
      <c r="J155" s="14">
        <f t="shared" ref="J155:J157" si="62">G155/(1-I155)</f>
        <v>0</v>
      </c>
      <c r="K155" s="5">
        <f t="shared" ref="K155:K157" si="63">H155/(1-I155)</f>
        <v>0</v>
      </c>
    </row>
    <row r="156" spans="1:11" ht="16" thickBot="1" x14ac:dyDescent="0.25">
      <c r="A156" s="9"/>
      <c r="B156" s="12"/>
      <c r="C156" s="10"/>
      <c r="D156" s="10"/>
      <c r="E156" s="4"/>
      <c r="F156" s="6"/>
      <c r="G156" s="4">
        <f t="shared" si="60"/>
        <v>0</v>
      </c>
      <c r="H156" s="14">
        <f t="shared" si="61"/>
        <v>0</v>
      </c>
      <c r="I156" s="16">
        <v>0.3</v>
      </c>
      <c r="J156" s="14">
        <f t="shared" si="62"/>
        <v>0</v>
      </c>
      <c r="K156" s="5">
        <f t="shared" si="63"/>
        <v>0</v>
      </c>
    </row>
    <row r="157" spans="1:11" ht="16" thickBot="1" x14ac:dyDescent="0.25">
      <c r="A157" s="9"/>
      <c r="B157" s="10"/>
      <c r="C157" s="10"/>
      <c r="D157" s="10"/>
      <c r="E157" s="4"/>
      <c r="F157" s="6"/>
      <c r="G157" s="4">
        <f t="shared" si="60"/>
        <v>0</v>
      </c>
      <c r="H157" s="14">
        <f t="shared" si="61"/>
        <v>0</v>
      </c>
      <c r="I157" s="16">
        <v>0.3</v>
      </c>
      <c r="J157" s="14">
        <f t="shared" si="62"/>
        <v>0</v>
      </c>
      <c r="K157" s="5">
        <f t="shared" si="63"/>
        <v>0</v>
      </c>
    </row>
    <row r="158" spans="1:11" ht="16" thickBot="1" x14ac:dyDescent="0.25">
      <c r="A158" s="48">
        <f>SUM(A154:A157)</f>
        <v>0</v>
      </c>
      <c r="B158" s="49"/>
      <c r="C158" s="49"/>
      <c r="D158" s="49"/>
      <c r="E158" s="50"/>
      <c r="F158" s="51" t="e">
        <f>MEDIAN(F154:F157)</f>
        <v>#NUM!</v>
      </c>
      <c r="G158" s="50"/>
      <c r="H158" s="52">
        <f>SUM(H154:H157)</f>
        <v>0</v>
      </c>
      <c r="I158" s="53">
        <f>MEDIAN(I154:I157)</f>
        <v>0.3</v>
      </c>
      <c r="J158" s="52"/>
      <c r="K158" s="54">
        <f>SUM(K154:K157)</f>
        <v>0</v>
      </c>
    </row>
    <row r="159" spans="1:11" ht="16" thickBot="1" x14ac:dyDescent="0.25">
      <c r="A159" s="89" t="s">
        <v>17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1"/>
    </row>
    <row r="160" spans="1:11" ht="16" thickBot="1" x14ac:dyDescent="0.25">
      <c r="A160" s="27"/>
      <c r="B160" s="42"/>
      <c r="C160" s="28"/>
      <c r="D160" s="28"/>
      <c r="E160" s="29"/>
      <c r="F160" s="30"/>
      <c r="G160" s="29">
        <f>IF(F160=0,E160,(E160*(1-F160)))</f>
        <v>0</v>
      </c>
      <c r="H160" s="20">
        <f>A160*G160</f>
        <v>0</v>
      </c>
      <c r="I160" s="31">
        <v>0.3</v>
      </c>
      <c r="J160" s="20">
        <f>G160/(1-I160)</f>
        <v>0</v>
      </c>
      <c r="K160" s="32">
        <f>H160/(1-I160)</f>
        <v>0</v>
      </c>
    </row>
    <row r="161" spans="1:11" ht="16" thickBot="1" x14ac:dyDescent="0.25">
      <c r="A161" s="9"/>
      <c r="B161" s="12"/>
      <c r="C161" s="10"/>
      <c r="D161" s="10"/>
      <c r="E161" s="4"/>
      <c r="F161" s="6"/>
      <c r="G161" s="4">
        <f t="shared" ref="G161:G163" si="64">IF(F161=0,E161,(E161*(1-F161)))</f>
        <v>0</v>
      </c>
      <c r="H161" s="14">
        <f t="shared" ref="H161:H163" si="65">A161*G161</f>
        <v>0</v>
      </c>
      <c r="I161" s="16">
        <v>0.3</v>
      </c>
      <c r="J161" s="14">
        <f t="shared" ref="J161:J163" si="66">G161/(1-I161)</f>
        <v>0</v>
      </c>
      <c r="K161" s="5">
        <f t="shared" ref="K161:K163" si="67">H161/(1-I161)</f>
        <v>0</v>
      </c>
    </row>
    <row r="162" spans="1:11" ht="16" thickBot="1" x14ac:dyDescent="0.25">
      <c r="A162" s="9"/>
      <c r="B162" s="12"/>
      <c r="C162" s="10"/>
      <c r="D162" s="10"/>
      <c r="E162" s="4"/>
      <c r="F162" s="6"/>
      <c r="G162" s="4">
        <f t="shared" si="64"/>
        <v>0</v>
      </c>
      <c r="H162" s="14">
        <f t="shared" si="65"/>
        <v>0</v>
      </c>
      <c r="I162" s="16">
        <v>0.3</v>
      </c>
      <c r="J162" s="14">
        <f t="shared" si="66"/>
        <v>0</v>
      </c>
      <c r="K162" s="5">
        <f t="shared" si="67"/>
        <v>0</v>
      </c>
    </row>
    <row r="163" spans="1:11" ht="16" thickBot="1" x14ac:dyDescent="0.25">
      <c r="A163" s="9"/>
      <c r="B163" s="10"/>
      <c r="C163" s="10"/>
      <c r="D163" s="10"/>
      <c r="E163" s="4"/>
      <c r="F163" s="6"/>
      <c r="G163" s="4">
        <f t="shared" si="64"/>
        <v>0</v>
      </c>
      <c r="H163" s="14">
        <f t="shared" si="65"/>
        <v>0</v>
      </c>
      <c r="I163" s="16">
        <v>0.3</v>
      </c>
      <c r="J163" s="14">
        <f t="shared" si="66"/>
        <v>0</v>
      </c>
      <c r="K163" s="5">
        <f t="shared" si="67"/>
        <v>0</v>
      </c>
    </row>
    <row r="164" spans="1:11" ht="16" thickBot="1" x14ac:dyDescent="0.25">
      <c r="A164" s="48">
        <f>SUM(A160:A163)</f>
        <v>0</v>
      </c>
      <c r="B164" s="49"/>
      <c r="C164" s="49"/>
      <c r="D164" s="49"/>
      <c r="E164" s="50"/>
      <c r="F164" s="51" t="e">
        <f>MEDIAN(F160:F163)</f>
        <v>#NUM!</v>
      </c>
      <c r="G164" s="50"/>
      <c r="H164" s="52">
        <f>SUM(H160:H163)</f>
        <v>0</v>
      </c>
      <c r="I164" s="53">
        <f>MEDIAN(I160:I163)</f>
        <v>0.3</v>
      </c>
      <c r="J164" s="52"/>
      <c r="K164" s="54">
        <f>SUM(K160:K163)</f>
        <v>0</v>
      </c>
    </row>
    <row r="165" spans="1:11" ht="16" thickBot="1" x14ac:dyDescent="0.25">
      <c r="A165" s="89" t="s">
        <v>22</v>
      </c>
      <c r="B165" s="90"/>
      <c r="C165" s="90"/>
      <c r="D165" s="90"/>
      <c r="E165" s="90"/>
      <c r="F165" s="90"/>
      <c r="G165" s="90"/>
      <c r="H165" s="90"/>
      <c r="I165" s="90"/>
      <c r="J165" s="90"/>
      <c r="K165" s="91"/>
    </row>
    <row r="166" spans="1:11" ht="16" thickBot="1" x14ac:dyDescent="0.25">
      <c r="A166" s="27"/>
      <c r="B166" s="42"/>
      <c r="C166" s="28"/>
      <c r="D166" s="28"/>
      <c r="E166" s="29"/>
      <c r="F166" s="30"/>
      <c r="G166" s="29">
        <f>IF(F166=0,E166,(E166*(1-F166)))</f>
        <v>0</v>
      </c>
      <c r="H166" s="20">
        <f>A166*G166</f>
        <v>0</v>
      </c>
      <c r="I166" s="31">
        <v>0.3</v>
      </c>
      <c r="J166" s="20">
        <f>G166/(1-I166)</f>
        <v>0</v>
      </c>
      <c r="K166" s="32">
        <f>H166/(1-I166)</f>
        <v>0</v>
      </c>
    </row>
    <row r="167" spans="1:11" ht="16" thickBot="1" x14ac:dyDescent="0.25">
      <c r="A167" s="9"/>
      <c r="B167" s="12"/>
      <c r="C167" s="10"/>
      <c r="D167" s="10"/>
      <c r="E167" s="4"/>
      <c r="F167" s="6"/>
      <c r="G167" s="4">
        <f t="shared" ref="G167:G169" si="68">IF(F167=0,E167,(E167*(1-F167)))</f>
        <v>0</v>
      </c>
      <c r="H167" s="14">
        <f t="shared" ref="H167:H169" si="69">A167*G167</f>
        <v>0</v>
      </c>
      <c r="I167" s="16">
        <v>0.3</v>
      </c>
      <c r="J167" s="14">
        <f t="shared" ref="J167:J169" si="70">G167/(1-I167)</f>
        <v>0</v>
      </c>
      <c r="K167" s="5">
        <f t="shared" ref="K167:K169" si="71">H167/(1-I167)</f>
        <v>0</v>
      </c>
    </row>
    <row r="168" spans="1:11" ht="16" thickBot="1" x14ac:dyDescent="0.25">
      <c r="A168" s="9"/>
      <c r="B168" s="12"/>
      <c r="C168" s="10"/>
      <c r="D168" s="10"/>
      <c r="E168" s="4"/>
      <c r="F168" s="6"/>
      <c r="G168" s="4">
        <f t="shared" si="68"/>
        <v>0</v>
      </c>
      <c r="H168" s="14">
        <f t="shared" si="69"/>
        <v>0</v>
      </c>
      <c r="I168" s="16">
        <v>0.3</v>
      </c>
      <c r="J168" s="14">
        <f t="shared" si="70"/>
        <v>0</v>
      </c>
      <c r="K168" s="5">
        <f t="shared" si="71"/>
        <v>0</v>
      </c>
    </row>
    <row r="169" spans="1:11" ht="16" thickBot="1" x14ac:dyDescent="0.25">
      <c r="A169" s="9"/>
      <c r="B169" s="10"/>
      <c r="C169" s="10"/>
      <c r="D169" s="10"/>
      <c r="E169" s="4"/>
      <c r="F169" s="6"/>
      <c r="G169" s="4">
        <f t="shared" si="68"/>
        <v>0</v>
      </c>
      <c r="H169" s="14">
        <f t="shared" si="69"/>
        <v>0</v>
      </c>
      <c r="I169" s="16">
        <v>0.3</v>
      </c>
      <c r="J169" s="14">
        <f t="shared" si="70"/>
        <v>0</v>
      </c>
      <c r="K169" s="5">
        <f t="shared" si="71"/>
        <v>0</v>
      </c>
    </row>
    <row r="170" spans="1:11" ht="16" thickBot="1" x14ac:dyDescent="0.25">
      <c r="A170" s="48">
        <f>SUM(A166:A169)</f>
        <v>0</v>
      </c>
      <c r="B170" s="49"/>
      <c r="C170" s="49"/>
      <c r="D170" s="49"/>
      <c r="E170" s="50"/>
      <c r="F170" s="51" t="e">
        <f>MEDIAN(F166:F169)</f>
        <v>#NUM!</v>
      </c>
      <c r="G170" s="50"/>
      <c r="H170" s="52">
        <f>SUM(H166:H169)</f>
        <v>0</v>
      </c>
      <c r="I170" s="53">
        <f>MEDIAN(I166:I169)</f>
        <v>0.3</v>
      </c>
      <c r="J170" s="52"/>
      <c r="K170" s="54">
        <f>SUM(K166:K169)</f>
        <v>0</v>
      </c>
    </row>
    <row r="171" spans="1:11" ht="16" thickBot="1" x14ac:dyDescent="0.25">
      <c r="A171" s="43" t="s">
        <v>2</v>
      </c>
      <c r="B171" s="44" t="s">
        <v>3</v>
      </c>
      <c r="C171" s="44" t="s">
        <v>4</v>
      </c>
      <c r="D171" s="44" t="s">
        <v>5</v>
      </c>
      <c r="E171" s="44" t="s">
        <v>6</v>
      </c>
      <c r="F171" s="45" t="s">
        <v>7</v>
      </c>
      <c r="G171" s="44" t="s">
        <v>8</v>
      </c>
      <c r="H171" s="46" t="s">
        <v>9</v>
      </c>
      <c r="I171" s="45" t="s">
        <v>10</v>
      </c>
      <c r="J171" s="46" t="s">
        <v>11</v>
      </c>
      <c r="K171" s="47" t="s">
        <v>12</v>
      </c>
    </row>
    <row r="172" spans="1:11" ht="19" x14ac:dyDescent="0.25">
      <c r="A172" s="55"/>
      <c r="B172" s="55"/>
      <c r="C172" s="55"/>
      <c r="D172" s="55"/>
      <c r="E172" s="56"/>
      <c r="F172" s="57" t="e">
        <f>MEDIAN(F170,F164,F158,F152,F144)</f>
        <v>#NUM!</v>
      </c>
      <c r="G172" s="56"/>
      <c r="H172" s="58">
        <f>SUM(H170,H164,H158,H144,H152)</f>
        <v>0</v>
      </c>
      <c r="I172" s="59">
        <f>MEDIAN(I170,I164,I158,I152,I144)</f>
        <v>0.3</v>
      </c>
      <c r="J172" s="58"/>
      <c r="K172" s="58">
        <f>SUM(K170,K164,K158,K152,K144)</f>
        <v>0</v>
      </c>
    </row>
  </sheetData>
  <mergeCells count="24">
    <mergeCell ref="A1:K1"/>
    <mergeCell ref="N41:O41"/>
    <mergeCell ref="A59:K59"/>
    <mergeCell ref="A2:K2"/>
    <mergeCell ref="O16:P16"/>
    <mergeCell ref="O17:P17"/>
    <mergeCell ref="O19:P19"/>
    <mergeCell ref="A117:K117"/>
    <mergeCell ref="A57:K58"/>
    <mergeCell ref="A29:K29"/>
    <mergeCell ref="A37:K37"/>
    <mergeCell ref="A43:K43"/>
    <mergeCell ref="A49:K49"/>
    <mergeCell ref="A115:K116"/>
    <mergeCell ref="A60:K60"/>
    <mergeCell ref="A87:K87"/>
    <mergeCell ref="A95:K95"/>
    <mergeCell ref="A101:K101"/>
    <mergeCell ref="A107:K107"/>
    <mergeCell ref="A118:K118"/>
    <mergeCell ref="A145:K145"/>
    <mergeCell ref="A153:K153"/>
    <mergeCell ref="A159:K159"/>
    <mergeCell ref="A165:K165"/>
  </mergeCells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f331a-444a-49e6-8e5e-298c9d7cfebf">
      <Terms xmlns="http://schemas.microsoft.com/office/infopath/2007/PartnerControls"/>
    </lcf76f155ced4ddcb4097134ff3c332f>
    <TaxCatchAll xmlns="44b79e5b-9df8-4153-8e8a-bcc59d568f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D20408F969468F7F21C01E1CA6EF" ma:contentTypeVersion="18" ma:contentTypeDescription="Create a new document." ma:contentTypeScope="" ma:versionID="4850719e09776034c4564f2acd623022">
  <xsd:schema xmlns:xsd="http://www.w3.org/2001/XMLSchema" xmlns:xs="http://www.w3.org/2001/XMLSchema" xmlns:p="http://schemas.microsoft.com/office/2006/metadata/properties" xmlns:ns2="ffff331a-444a-49e6-8e5e-298c9d7cfebf" xmlns:ns3="44b79e5b-9df8-4153-8e8a-bcc59d568f6c" targetNamespace="http://schemas.microsoft.com/office/2006/metadata/properties" ma:root="true" ma:fieldsID="b0e12f89c60df9aef338c2fb93f86025" ns2:_="" ns3:_="">
    <xsd:import namespace="ffff331a-444a-49e6-8e5e-298c9d7cfebf"/>
    <xsd:import namespace="44b79e5b-9df8-4153-8e8a-bcc59d568f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f331a-444a-49e6-8e5e-298c9d7cf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cd42bc-13fd-46a3-b9aa-4ad60a5084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79e5b-9df8-4153-8e8a-bcc59d568f6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318fc8-ed0e-4b8c-b639-b99df7e81b64}" ma:internalName="TaxCatchAll" ma:showField="CatchAllData" ma:web="44b79e5b-9df8-4153-8e8a-bcc59d568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F8335C-21B6-411B-8D81-E775EF8A9608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ffff331a-444a-49e6-8e5e-298c9d7cfebf"/>
    <ds:schemaRef ds:uri="http://schemas.openxmlformats.org/package/2006/metadata/core-properties"/>
    <ds:schemaRef ds:uri="44b79e5b-9df8-4153-8e8a-bcc59d568f6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8C10D3A-2F90-4BD7-82EF-4C8218A3E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f331a-444a-49e6-8e5e-298c9d7cfebf"/>
    <ds:schemaRef ds:uri="44b79e5b-9df8-4153-8e8a-bcc59d568f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8F5AED-C349-4F90-BD73-D029604B9E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 sheet</vt:lpstr>
    </vt:vector>
  </TitlesOfParts>
  <Manager/>
  <Company>Sparks Energies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Aubut</dc:creator>
  <cp:keywords/>
  <dc:description/>
  <cp:lastModifiedBy>Marc-Olivier Gagner</cp:lastModifiedBy>
  <cp:revision/>
  <dcterms:created xsi:type="dcterms:W3CDTF">2019-08-26T16:53:29Z</dcterms:created>
  <dcterms:modified xsi:type="dcterms:W3CDTF">2026-01-20T20:15:42Z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0x010100ACA8D20408F969468F7F21C01E1CA6EF</vt:lpwstr>
  </property>
  <property fmtid="{D5CDD505-2E9C-101B-9397-08002B2CF9AE}" pid="3" name="MediaServiceImageTags">
    <vt:lpwstr/>
  </property>
</Properties>
</file>